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7970" windowHeight="5970" activeTab="1"/>
  </bookViews>
  <sheets>
    <sheet name="BigData_Ecommerce_Clickstream" sheetId="1" r:id="rId1"/>
    <sheet name="Dashboard" sheetId="2" r:id="rId2"/>
  </sheets>
  <calcPr calcId="162913"/>
  <pivotCaches>
    <pivotCache cacheId="7" r:id="rId3"/>
    <pivotCache cacheId="22" r:id="rId4"/>
  </pivotCaches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3" i="1"/>
  <c r="K2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3" i="1"/>
  <c r="J2" i="1"/>
  <c r="Q8" i="1"/>
  <c r="R8" i="1" s="1"/>
  <c r="P7" i="1"/>
  <c r="P4" i="1"/>
  <c r="P3" i="1"/>
  <c r="P2" i="1"/>
  <c r="P5" i="1" s="1"/>
</calcChain>
</file>

<file path=xl/sharedStrings.xml><?xml version="1.0" encoding="utf-8"?>
<sst xmlns="http://schemas.openxmlformats.org/spreadsheetml/2006/main" count="8059" uniqueCount="3160">
  <si>
    <t>User_ID</t>
  </si>
  <si>
    <t>Session_ID</t>
  </si>
  <si>
    <t>Event_Time</t>
  </si>
  <si>
    <t>Event_Type</t>
  </si>
  <si>
    <t>Product_ID</t>
  </si>
  <si>
    <t>Category</t>
  </si>
  <si>
    <t>Device_Type</t>
  </si>
  <si>
    <t>City</t>
  </si>
  <si>
    <t>Revenue</t>
  </si>
  <si>
    <t>U641</t>
  </si>
  <si>
    <t>S3212</t>
  </si>
  <si>
    <t>2024-01-03 16:58</t>
  </si>
  <si>
    <t>Add_to_Cart</t>
  </si>
  <si>
    <t>P183</t>
  </si>
  <si>
    <t>Electronics</t>
  </si>
  <si>
    <t>Tablet</t>
  </si>
  <si>
    <t>Mumbai</t>
  </si>
  <si>
    <t>U886</t>
  </si>
  <si>
    <t>S9781</t>
  </si>
  <si>
    <t>2024-01-15 14:33</t>
  </si>
  <si>
    <t>View</t>
  </si>
  <si>
    <t>P718</t>
  </si>
  <si>
    <t>Home</t>
  </si>
  <si>
    <t>Mobile</t>
  </si>
  <si>
    <t>Hyderabad</t>
  </si>
  <si>
    <t>U552</t>
  </si>
  <si>
    <t>S6430</t>
  </si>
  <si>
    <t>2024-01-06 00:05</t>
  </si>
  <si>
    <t>P628</t>
  </si>
  <si>
    <t>Fashion</t>
  </si>
  <si>
    <t>Bangalore</t>
  </si>
  <si>
    <t>U107</t>
  </si>
  <si>
    <t>S1744</t>
  </si>
  <si>
    <t>2024-01-22 00:08</t>
  </si>
  <si>
    <t>P937</t>
  </si>
  <si>
    <t>Desktop</t>
  </si>
  <si>
    <t>U639</t>
  </si>
  <si>
    <t>S9036</t>
  </si>
  <si>
    <t>2024-01-23 15:35</t>
  </si>
  <si>
    <t>P794</t>
  </si>
  <si>
    <t>Grocery</t>
  </si>
  <si>
    <t>Delhi</t>
  </si>
  <si>
    <t>U282</t>
  </si>
  <si>
    <t>S6723</t>
  </si>
  <si>
    <t>2024-01-30 12:44</t>
  </si>
  <si>
    <t>Purchase</t>
  </si>
  <si>
    <t>P790</t>
  </si>
  <si>
    <t>U683</t>
  </si>
  <si>
    <t>S9814</t>
  </si>
  <si>
    <t>2024-01-26 22:26</t>
  </si>
  <si>
    <t>P356</t>
  </si>
  <si>
    <t>U369</t>
  </si>
  <si>
    <t>S1209</t>
  </si>
  <si>
    <t>2024-01-23 06:11</t>
  </si>
  <si>
    <t>P154</t>
  </si>
  <si>
    <t>Pune</t>
  </si>
  <si>
    <t>U424</t>
  </si>
  <si>
    <t>S8094</t>
  </si>
  <si>
    <t>2024-01-23 14:27</t>
  </si>
  <si>
    <t>P771</t>
  </si>
  <si>
    <t>S1513</t>
  </si>
  <si>
    <t>2024-01-14 01:12</t>
  </si>
  <si>
    <t>P729</t>
  </si>
  <si>
    <t>U915</t>
  </si>
  <si>
    <t>S8365</t>
  </si>
  <si>
    <t>2024-01-17 01:40</t>
  </si>
  <si>
    <t>P704</t>
  </si>
  <si>
    <t>U215</t>
  </si>
  <si>
    <t>S7088</t>
  </si>
  <si>
    <t>2024-01-06 11:54</t>
  </si>
  <si>
    <t>P593</t>
  </si>
  <si>
    <t>U310</t>
  </si>
  <si>
    <t>S3801</t>
  </si>
  <si>
    <t>2024-01-10 00:18</t>
  </si>
  <si>
    <t>P346</t>
  </si>
  <si>
    <t>Books</t>
  </si>
  <si>
    <t>U105</t>
  </si>
  <si>
    <t>S4899</t>
  </si>
  <si>
    <t>2024-01-29 19:03</t>
  </si>
  <si>
    <t>P623</t>
  </si>
  <si>
    <t>U415</t>
  </si>
  <si>
    <t>S3352</t>
  </si>
  <si>
    <t>2024-01-20 05:48</t>
  </si>
  <si>
    <t>P552</t>
  </si>
  <si>
    <t>U615</t>
  </si>
  <si>
    <t>S8643</t>
  </si>
  <si>
    <t>2024-01-18 19:35</t>
  </si>
  <si>
    <t>P894</t>
  </si>
  <si>
    <t>U345</t>
  </si>
  <si>
    <t>S1297</t>
  </si>
  <si>
    <t>2024-01-14 08:43</t>
  </si>
  <si>
    <t>P101</t>
  </si>
  <si>
    <t>U527</t>
  </si>
  <si>
    <t>S7682</t>
  </si>
  <si>
    <t>2024-01-26 14:00</t>
  </si>
  <si>
    <t>P422</t>
  </si>
  <si>
    <t>U509</t>
  </si>
  <si>
    <t>S9301</t>
  </si>
  <si>
    <t>2024-01-13 03:40</t>
  </si>
  <si>
    <t>P199</t>
  </si>
  <si>
    <t>U600</t>
  </si>
  <si>
    <t>S4789</t>
  </si>
  <si>
    <t>2024-01-13 19:37</t>
  </si>
  <si>
    <t>P743</t>
  </si>
  <si>
    <t>U574</t>
  </si>
  <si>
    <t>S7506</t>
  </si>
  <si>
    <t>2024-01-01 18:21</t>
  </si>
  <si>
    <t>P890</t>
  </si>
  <si>
    <t>U425</t>
  </si>
  <si>
    <t>S7330</t>
  </si>
  <si>
    <t>2024-01-29 13:12</t>
  </si>
  <si>
    <t>P152</t>
  </si>
  <si>
    <t>U146</t>
  </si>
  <si>
    <t>2024-02-03 16:59</t>
  </si>
  <si>
    <t>P467</t>
  </si>
  <si>
    <t>U460</t>
  </si>
  <si>
    <t>S6068</t>
  </si>
  <si>
    <t>2024-01-07 01:11</t>
  </si>
  <si>
    <t>P469</t>
  </si>
  <si>
    <t>U315</t>
  </si>
  <si>
    <t>S2693</t>
  </si>
  <si>
    <t>2024-01-17 18:34</t>
  </si>
  <si>
    <t>P287</t>
  </si>
  <si>
    <t>U805</t>
  </si>
  <si>
    <t>S2673</t>
  </si>
  <si>
    <t>2024-02-01 14:39</t>
  </si>
  <si>
    <t>P381</t>
  </si>
  <si>
    <t>U733</t>
  </si>
  <si>
    <t>S4111</t>
  </si>
  <si>
    <t>2024-01-09 23:48</t>
  </si>
  <si>
    <t>P974</t>
  </si>
  <si>
    <t>U990</t>
  </si>
  <si>
    <t>S3058</t>
  </si>
  <si>
    <t>2024-01-23 19:54</t>
  </si>
  <si>
    <t>P918</t>
  </si>
  <si>
    <t>U452</t>
  </si>
  <si>
    <t>S9631</t>
  </si>
  <si>
    <t>2024-01-24 23:13</t>
  </si>
  <si>
    <t>P130</t>
  </si>
  <si>
    <t>U925</t>
  </si>
  <si>
    <t>S6631</t>
  </si>
  <si>
    <t>2024-01-08 09:08</t>
  </si>
  <si>
    <t>P537</t>
  </si>
  <si>
    <t>U907</t>
  </si>
  <si>
    <t>S3967</t>
  </si>
  <si>
    <t>2024-01-09 21:32</t>
  </si>
  <si>
    <t>P841</t>
  </si>
  <si>
    <t>U159</t>
  </si>
  <si>
    <t>S3980</t>
  </si>
  <si>
    <t>2024-01-25 15:35</t>
  </si>
  <si>
    <t>P853</t>
  </si>
  <si>
    <t>U278</t>
  </si>
  <si>
    <t>S5737</t>
  </si>
  <si>
    <t>2024-01-18 04:59</t>
  </si>
  <si>
    <t>P884</t>
  </si>
  <si>
    <t>U839</t>
  </si>
  <si>
    <t>S7388</t>
  </si>
  <si>
    <t>2024-01-21 08:34</t>
  </si>
  <si>
    <t>P870</t>
  </si>
  <si>
    <t>U141</t>
  </si>
  <si>
    <t>S3794</t>
  </si>
  <si>
    <t>2024-02-03 23:10</t>
  </si>
  <si>
    <t>P256</t>
  </si>
  <si>
    <t>U300</t>
  </si>
  <si>
    <t>S6943</t>
  </si>
  <si>
    <t>2024-01-06 00:38</t>
  </si>
  <si>
    <t>P584</t>
  </si>
  <si>
    <t>U368</t>
  </si>
  <si>
    <t>S6777</t>
  </si>
  <si>
    <t>2024-01-22 01:37</t>
  </si>
  <si>
    <t>P646</t>
  </si>
  <si>
    <t>U619</t>
  </si>
  <si>
    <t>S1923</t>
  </si>
  <si>
    <t>2024-01-21 14:21</t>
  </si>
  <si>
    <t>P563</t>
  </si>
  <si>
    <t>U483</t>
  </si>
  <si>
    <t>S9605</t>
  </si>
  <si>
    <t>2024-02-03 18:52</t>
  </si>
  <si>
    <t>P250</t>
  </si>
  <si>
    <t>U950</t>
  </si>
  <si>
    <t>S8682</t>
  </si>
  <si>
    <t>2024-02-01 06:51</t>
  </si>
  <si>
    <t>U955</t>
  </si>
  <si>
    <t>S6152</t>
  </si>
  <si>
    <t>2024-01-03 01:22</t>
  </si>
  <si>
    <t>P950</t>
  </si>
  <si>
    <t>U361</t>
  </si>
  <si>
    <t>S4777</t>
  </si>
  <si>
    <t>2024-01-12 11:33</t>
  </si>
  <si>
    <t>P397</t>
  </si>
  <si>
    <t>U585</t>
  </si>
  <si>
    <t>S4278</t>
  </si>
  <si>
    <t>2024-01-26 14:07</t>
  </si>
  <si>
    <t>P755</t>
  </si>
  <si>
    <t>U330</t>
  </si>
  <si>
    <t>S6324</t>
  </si>
  <si>
    <t>2024-01-22 06:09</t>
  </si>
  <si>
    <t>P655</t>
  </si>
  <si>
    <t>U411</t>
  </si>
  <si>
    <t>S5545</t>
  </si>
  <si>
    <t>2024-01-05 12:02</t>
  </si>
  <si>
    <t>P819</t>
  </si>
  <si>
    <t>U869</t>
  </si>
  <si>
    <t>S6238</t>
  </si>
  <si>
    <t>2024-01-22 01:04</t>
  </si>
  <si>
    <t>P816</t>
  </si>
  <si>
    <t>U432</t>
  </si>
  <si>
    <t>S5310</t>
  </si>
  <si>
    <t>2024-01-12 15:16</t>
  </si>
  <si>
    <t>P280</t>
  </si>
  <si>
    <t>U788</t>
  </si>
  <si>
    <t>S8867</t>
  </si>
  <si>
    <t>2024-01-30 08:47</t>
  </si>
  <si>
    <t>P347</t>
  </si>
  <si>
    <t>U259</t>
  </si>
  <si>
    <t>S6449</t>
  </si>
  <si>
    <t>2024-01-11 23:35</t>
  </si>
  <si>
    <t>P779</t>
  </si>
  <si>
    <t>U786</t>
  </si>
  <si>
    <t>S2054</t>
  </si>
  <si>
    <t>2024-01-05 07:17</t>
  </si>
  <si>
    <t>P493</t>
  </si>
  <si>
    <t>U685</t>
  </si>
  <si>
    <t>S6693</t>
  </si>
  <si>
    <t>2024-01-25 16:23</t>
  </si>
  <si>
    <t>P809</t>
  </si>
  <si>
    <t>S2116</t>
  </si>
  <si>
    <t>2024-01-17 04:54</t>
  </si>
  <si>
    <t>P286</t>
  </si>
  <si>
    <t>S9187</t>
  </si>
  <si>
    <t>2024-01-03 03:03</t>
  </si>
  <si>
    <t>P216</t>
  </si>
  <si>
    <t>U649</t>
  </si>
  <si>
    <t>S2014</t>
  </si>
  <si>
    <t>2024-01-13 14:56</t>
  </si>
  <si>
    <t>P642</t>
  </si>
  <si>
    <t>U694</t>
  </si>
  <si>
    <t>S6017</t>
  </si>
  <si>
    <t>2024-01-16 19:44</t>
  </si>
  <si>
    <t>P527</t>
  </si>
  <si>
    <t>U193</t>
  </si>
  <si>
    <t>S6428</t>
  </si>
  <si>
    <t>2024-01-19 05:22</t>
  </si>
  <si>
    <t>P234</t>
  </si>
  <si>
    <t>U485</t>
  </si>
  <si>
    <t>S4680</t>
  </si>
  <si>
    <t>2024-01-25 12:44</t>
  </si>
  <si>
    <t>P349</t>
  </si>
  <si>
    <t>U590</t>
  </si>
  <si>
    <t>S5654</t>
  </si>
  <si>
    <t>2024-01-06 17:00</t>
  </si>
  <si>
    <t>P190</t>
  </si>
  <si>
    <t>U214</t>
  </si>
  <si>
    <t>S4273</t>
  </si>
  <si>
    <t>2024-01-23 06:38</t>
  </si>
  <si>
    <t>P667</t>
  </si>
  <si>
    <t>U265</t>
  </si>
  <si>
    <t>S2908</t>
  </si>
  <si>
    <t>2024-01-03 00:08</t>
  </si>
  <si>
    <t>P631</t>
  </si>
  <si>
    <t>U855</t>
  </si>
  <si>
    <t>S7131</t>
  </si>
  <si>
    <t>2024-01-31 18:34</t>
  </si>
  <si>
    <t>P879</t>
  </si>
  <si>
    <t>S4754</t>
  </si>
  <si>
    <t>2024-01-30 20:29</t>
  </si>
  <si>
    <t>P632</t>
  </si>
  <si>
    <t>U496</t>
  </si>
  <si>
    <t>S9903</t>
  </si>
  <si>
    <t>2024-01-01 08:07</t>
  </si>
  <si>
    <t>P750</t>
  </si>
  <si>
    <t>S9200</t>
  </si>
  <si>
    <t>2024-01-11 14:37</t>
  </si>
  <si>
    <t>P791</t>
  </si>
  <si>
    <t>U291</t>
  </si>
  <si>
    <t>S9211</t>
  </si>
  <si>
    <t>2024-01-06 14:29</t>
  </si>
  <si>
    <t>P747</t>
  </si>
  <si>
    <t>U101</t>
  </si>
  <si>
    <t>2024-01-30 20:58</t>
  </si>
  <si>
    <t>P849</t>
  </si>
  <si>
    <t>U581</t>
  </si>
  <si>
    <t>S4317</t>
  </si>
  <si>
    <t>2024-01-28 05:26</t>
  </si>
  <si>
    <t>P439</t>
  </si>
  <si>
    <t>U953</t>
  </si>
  <si>
    <t>S2610</t>
  </si>
  <si>
    <t>2024-01-10 06:15</t>
  </si>
  <si>
    <t>U329</t>
  </si>
  <si>
    <t>S4069</t>
  </si>
  <si>
    <t>2024-01-15 11:49</t>
  </si>
  <si>
    <t>U200</t>
  </si>
  <si>
    <t>S7993</t>
  </si>
  <si>
    <t>2024-01-04 06:11</t>
  </si>
  <si>
    <t>P656</t>
  </si>
  <si>
    <t>U120</t>
  </si>
  <si>
    <t>S5801</t>
  </si>
  <si>
    <t>2024-01-02 08:35</t>
  </si>
  <si>
    <t>P598</t>
  </si>
  <si>
    <t>U735</t>
  </si>
  <si>
    <t>S3965</t>
  </si>
  <si>
    <t>2024-01-06 04:03</t>
  </si>
  <si>
    <t>P633</t>
  </si>
  <si>
    <t>U565</t>
  </si>
  <si>
    <t>S3336</t>
  </si>
  <si>
    <t>2024-01-20 17:03</t>
  </si>
  <si>
    <t>P854</t>
  </si>
  <si>
    <t>U504</t>
  </si>
  <si>
    <t>S4892</t>
  </si>
  <si>
    <t>2024-01-07 00:19</t>
  </si>
  <si>
    <t>P926</t>
  </si>
  <si>
    <t>U654</t>
  </si>
  <si>
    <t>S7637</t>
  </si>
  <si>
    <t>2024-01-31 03:47</t>
  </si>
  <si>
    <t>P187</t>
  </si>
  <si>
    <t>U427</t>
  </si>
  <si>
    <t>S8184</t>
  </si>
  <si>
    <t>2024-02-03 17:31</t>
  </si>
  <si>
    <t>P889</t>
  </si>
  <si>
    <t>U348</t>
  </si>
  <si>
    <t>S8608</t>
  </si>
  <si>
    <t>2024-01-11 00:31</t>
  </si>
  <si>
    <t>P440</t>
  </si>
  <si>
    <t>U893</t>
  </si>
  <si>
    <t>S1595</t>
  </si>
  <si>
    <t>2024-01-21 22:05</t>
  </si>
  <si>
    <t>P242</t>
  </si>
  <si>
    <t>U383</t>
  </si>
  <si>
    <t>S6780</t>
  </si>
  <si>
    <t>2024-01-14 09:28</t>
  </si>
  <si>
    <t>P252</t>
  </si>
  <si>
    <t>U995</t>
  </si>
  <si>
    <t>S1244</t>
  </si>
  <si>
    <t>2024-02-02 07:24</t>
  </si>
  <si>
    <t>P441</t>
  </si>
  <si>
    <t>U353</t>
  </si>
  <si>
    <t>S9134</t>
  </si>
  <si>
    <t>2024-01-02 16:04</t>
  </si>
  <si>
    <t>P573</t>
  </si>
  <si>
    <t>U325</t>
  </si>
  <si>
    <t>S6593</t>
  </si>
  <si>
    <t>2024-01-08 17:54</t>
  </si>
  <si>
    <t>P379</t>
  </si>
  <si>
    <t>U780</t>
  </si>
  <si>
    <t>S8161</t>
  </si>
  <si>
    <t>2024-01-04 16:51</t>
  </si>
  <si>
    <t>P815</t>
  </si>
  <si>
    <t>U116</t>
  </si>
  <si>
    <t>S4222</t>
  </si>
  <si>
    <t>2024-01-10 22:20</t>
  </si>
  <si>
    <t>P861</t>
  </si>
  <si>
    <t>U104</t>
  </si>
  <si>
    <t>S8113</t>
  </si>
  <si>
    <t>2024-01-24 02:07</t>
  </si>
  <si>
    <t>U187</t>
  </si>
  <si>
    <t>S7486</t>
  </si>
  <si>
    <t>2024-01-15 07:03</t>
  </si>
  <si>
    <t>P514</t>
  </si>
  <si>
    <t>U332</t>
  </si>
  <si>
    <t>S5640</t>
  </si>
  <si>
    <t>2024-01-22 08:37</t>
  </si>
  <si>
    <t>P857</t>
  </si>
  <si>
    <t>U406</t>
  </si>
  <si>
    <t>S1710</t>
  </si>
  <si>
    <t>2024-01-22 11:58</t>
  </si>
  <si>
    <t>P958</t>
  </si>
  <si>
    <t>U589</t>
  </si>
  <si>
    <t>S8370</t>
  </si>
  <si>
    <t>2024-01-28 09:43</t>
  </si>
  <si>
    <t>P892</t>
  </si>
  <si>
    <t>U152</t>
  </si>
  <si>
    <t>S6695</t>
  </si>
  <si>
    <t>2024-02-01 00:46</t>
  </si>
  <si>
    <t>P740</t>
  </si>
  <si>
    <t>U719</t>
  </si>
  <si>
    <t>S6922</t>
  </si>
  <si>
    <t>2024-01-19 13:57</t>
  </si>
  <si>
    <t>P679</t>
  </si>
  <si>
    <t>U346</t>
  </si>
  <si>
    <t>S2465</t>
  </si>
  <si>
    <t>2024-01-20 02:22</t>
  </si>
  <si>
    <t>P863</t>
  </si>
  <si>
    <t>U962</t>
  </si>
  <si>
    <t>S3259</t>
  </si>
  <si>
    <t>2024-01-14 11:21</t>
  </si>
  <si>
    <t>P725</t>
  </si>
  <si>
    <t>U473</t>
  </si>
  <si>
    <t>S5079</t>
  </si>
  <si>
    <t>2024-01-18 15:35</t>
  </si>
  <si>
    <t>P225</t>
  </si>
  <si>
    <t>U297</t>
  </si>
  <si>
    <t>S2607</t>
  </si>
  <si>
    <t>2024-01-27 15:30</t>
  </si>
  <si>
    <t>U961</t>
  </si>
  <si>
    <t>S5944</t>
  </si>
  <si>
    <t>2024-01-25 18:05</t>
  </si>
  <si>
    <t>P940</t>
  </si>
  <si>
    <t>S1961</t>
  </si>
  <si>
    <t>2024-02-04 14:31</t>
  </si>
  <si>
    <t>P962</t>
  </si>
  <si>
    <t>U362</t>
  </si>
  <si>
    <t>S2581</t>
  </si>
  <si>
    <t>2024-02-04 01:42</t>
  </si>
  <si>
    <t>P136</t>
  </si>
  <si>
    <t>U145</t>
  </si>
  <si>
    <t>S7462</t>
  </si>
  <si>
    <t>2024-01-09 18:04</t>
  </si>
  <si>
    <t>P476</t>
  </si>
  <si>
    <t>U644</t>
  </si>
  <si>
    <t>S2738</t>
  </si>
  <si>
    <t>2024-01-02 16:49</t>
  </si>
  <si>
    <t>P165</t>
  </si>
  <si>
    <t>U695</t>
  </si>
  <si>
    <t>S2323</t>
  </si>
  <si>
    <t>2024-01-24 11:01</t>
  </si>
  <si>
    <t>P644</t>
  </si>
  <si>
    <t>U712</t>
  </si>
  <si>
    <t>S5539</t>
  </si>
  <si>
    <t>2024-02-01 19:30</t>
  </si>
  <si>
    <t>P299</t>
  </si>
  <si>
    <t>U948</t>
  </si>
  <si>
    <t>S1518</t>
  </si>
  <si>
    <t>2024-01-23 14:24</t>
  </si>
  <si>
    <t>P198</t>
  </si>
  <si>
    <t>S3298</t>
  </si>
  <si>
    <t>2024-01-28 17:46</t>
  </si>
  <si>
    <t>P672</t>
  </si>
  <si>
    <t>S7127</t>
  </si>
  <si>
    <t>2024-01-08 12:34</t>
  </si>
  <si>
    <t>P513</t>
  </si>
  <si>
    <t>S1305</t>
  </si>
  <si>
    <t>2024-01-19 15:02</t>
  </si>
  <si>
    <t>P124</t>
  </si>
  <si>
    <t>U481</t>
  </si>
  <si>
    <t>S3078</t>
  </si>
  <si>
    <t>2024-01-12 06:49</t>
  </si>
  <si>
    <t>P396</t>
  </si>
  <si>
    <t>U709</t>
  </si>
  <si>
    <t>S5089</t>
  </si>
  <si>
    <t>2024-01-06 10:41</t>
  </si>
  <si>
    <t>U804</t>
  </si>
  <si>
    <t>S7096</t>
  </si>
  <si>
    <t>2024-02-03 02:22</t>
  </si>
  <si>
    <t>P677</t>
  </si>
  <si>
    <t>U892</t>
  </si>
  <si>
    <t>S5471</t>
  </si>
  <si>
    <t>2024-01-03 11:10</t>
  </si>
  <si>
    <t>P369</t>
  </si>
  <si>
    <t>U663</t>
  </si>
  <si>
    <t>S7109</t>
  </si>
  <si>
    <t>2024-01-22 18:16</t>
  </si>
  <si>
    <t>U621</t>
  </si>
  <si>
    <t>S9843</t>
  </si>
  <si>
    <t>2024-01-14 11:12</t>
  </si>
  <si>
    <t>P331</t>
  </si>
  <si>
    <t>U798</t>
  </si>
  <si>
    <t>S9870</t>
  </si>
  <si>
    <t>2024-01-20 13:02</t>
  </si>
  <si>
    <t>P869</t>
  </si>
  <si>
    <t>U578</t>
  </si>
  <si>
    <t>S1158</t>
  </si>
  <si>
    <t>2024-01-08 02:30</t>
  </si>
  <si>
    <t>P946</t>
  </si>
  <si>
    <t>S2737</t>
  </si>
  <si>
    <t>2024-01-15 13:43</t>
  </si>
  <si>
    <t>P348</t>
  </si>
  <si>
    <t>U217</t>
  </si>
  <si>
    <t>S5885</t>
  </si>
  <si>
    <t>2024-01-31 01:41</t>
  </si>
  <si>
    <t>P412</t>
  </si>
  <si>
    <t>U255</t>
  </si>
  <si>
    <t>S2992</t>
  </si>
  <si>
    <t>2024-01-23 04:01</t>
  </si>
  <si>
    <t>P827</t>
  </si>
  <si>
    <t>U472</t>
  </si>
  <si>
    <t>S7401</t>
  </si>
  <si>
    <t>2024-01-04 05:05</t>
  </si>
  <si>
    <t>P886</t>
  </si>
  <si>
    <t>U511</t>
  </si>
  <si>
    <t>S9121</t>
  </si>
  <si>
    <t>2024-01-12 03:53</t>
  </si>
  <si>
    <t>P423</t>
  </si>
  <si>
    <t>U868</t>
  </si>
  <si>
    <t>S4349</t>
  </si>
  <si>
    <t>2024-01-27 07:07</t>
  </si>
  <si>
    <t>P845</t>
  </si>
  <si>
    <t>S9008</t>
  </si>
  <si>
    <t>2024-01-14 17:25</t>
  </si>
  <si>
    <t>P162</t>
  </si>
  <si>
    <t>U823</t>
  </si>
  <si>
    <t>S8121</t>
  </si>
  <si>
    <t>2024-01-04 12:58</t>
  </si>
  <si>
    <t>U464</t>
  </si>
  <si>
    <t>S4937</t>
  </si>
  <si>
    <t>2024-01-11 12:12</t>
  </si>
  <si>
    <t>U569</t>
  </si>
  <si>
    <t>S3189</t>
  </si>
  <si>
    <t>2024-01-08 18:56</t>
  </si>
  <si>
    <t>P509</t>
  </si>
  <si>
    <t>U177</t>
  </si>
  <si>
    <t>S1366</t>
  </si>
  <si>
    <t>2024-01-03 16:56</t>
  </si>
  <si>
    <t>U934</t>
  </si>
  <si>
    <t>S7817</t>
  </si>
  <si>
    <t>2024-01-03 19:10</t>
  </si>
  <si>
    <t>P983</t>
  </si>
  <si>
    <t>U977</t>
  </si>
  <si>
    <t>S4957</t>
  </si>
  <si>
    <t>2024-01-16 10:57</t>
  </si>
  <si>
    <t>P490</t>
  </si>
  <si>
    <t>U294</t>
  </si>
  <si>
    <t>S1580</t>
  </si>
  <si>
    <t>2024-01-11 16:04</t>
  </si>
  <si>
    <t>P306</t>
  </si>
  <si>
    <t>S3918</t>
  </si>
  <si>
    <t>2024-01-11 02:08</t>
  </si>
  <si>
    <t>P839</t>
  </si>
  <si>
    <t>U992</t>
  </si>
  <si>
    <t>S9481</t>
  </si>
  <si>
    <t>2024-01-02 17:46</t>
  </si>
  <si>
    <t>U133</t>
  </si>
  <si>
    <t>S5617</t>
  </si>
  <si>
    <t>2024-01-05 07:47</t>
  </si>
  <si>
    <t>P964</t>
  </si>
  <si>
    <t>U847</t>
  </si>
  <si>
    <t>S9464</t>
  </si>
  <si>
    <t>2024-01-02 08:00</t>
  </si>
  <si>
    <t>P726</t>
  </si>
  <si>
    <t>U171</t>
  </si>
  <si>
    <t>S1300</t>
  </si>
  <si>
    <t>2024-01-10 22:09</t>
  </si>
  <si>
    <t>P713</t>
  </si>
  <si>
    <t>S5764</t>
  </si>
  <si>
    <t>2024-01-15 17:19</t>
  </si>
  <si>
    <t>P431</t>
  </si>
  <si>
    <t>U595</t>
  </si>
  <si>
    <t>S6393</t>
  </si>
  <si>
    <t>P981</t>
  </si>
  <si>
    <t>U964</t>
  </si>
  <si>
    <t>S6385</t>
  </si>
  <si>
    <t>2024-01-13 09:35</t>
  </si>
  <si>
    <t>P212</t>
  </si>
  <si>
    <t>U996</t>
  </si>
  <si>
    <t>S2900</t>
  </si>
  <si>
    <t>2024-02-03 13:40</t>
  </si>
  <si>
    <t>P204</t>
  </si>
  <si>
    <t>U457</t>
  </si>
  <si>
    <t>S7609</t>
  </si>
  <si>
    <t>2024-01-21 08:38</t>
  </si>
  <si>
    <t>P258</t>
  </si>
  <si>
    <t>U882</t>
  </si>
  <si>
    <t>S8138</t>
  </si>
  <si>
    <t>2024-01-24 10:28</t>
  </si>
  <si>
    <t>P334</t>
  </si>
  <si>
    <t>U800</t>
  </si>
  <si>
    <t>S1571</t>
  </si>
  <si>
    <t>2024-01-25 16:52</t>
  </si>
  <si>
    <t>U982</t>
  </si>
  <si>
    <t>S2631</t>
  </si>
  <si>
    <t>2024-01-08 18:45</t>
  </si>
  <si>
    <t>P645</t>
  </si>
  <si>
    <t>U875</t>
  </si>
  <si>
    <t>S2528</t>
  </si>
  <si>
    <t>2024-01-22 05:35</t>
  </si>
  <si>
    <t>P680</t>
  </si>
  <si>
    <t>S4959</t>
  </si>
  <si>
    <t>2024-01-05 06:46</t>
  </si>
  <si>
    <t>U128</t>
  </si>
  <si>
    <t>S8450</t>
  </si>
  <si>
    <t>2024-01-17 21:59</t>
  </si>
  <si>
    <t>P442</t>
  </si>
  <si>
    <t>U929</t>
  </si>
  <si>
    <t>S9105</t>
  </si>
  <si>
    <t>2024-02-01 18:31</t>
  </si>
  <si>
    <t>P479</t>
  </si>
  <si>
    <t>U895</t>
  </si>
  <si>
    <t>2024-01-18 11:45</t>
  </si>
  <si>
    <t>P341</t>
  </si>
  <si>
    <t>U576</t>
  </si>
  <si>
    <t>S7699</t>
  </si>
  <si>
    <t>2024-01-09 17:08</t>
  </si>
  <si>
    <t>P307</t>
  </si>
  <si>
    <t>U211</t>
  </si>
  <si>
    <t>S7598</t>
  </si>
  <si>
    <t>2024-01-19 23:03</t>
  </si>
  <si>
    <t>P898</t>
  </si>
  <si>
    <t>U713</t>
  </si>
  <si>
    <t>S7146</t>
  </si>
  <si>
    <t>2024-01-08 08:29</t>
  </si>
  <si>
    <t>P643</t>
  </si>
  <si>
    <t>U717</t>
  </si>
  <si>
    <t>S1824</t>
  </si>
  <si>
    <t>2024-02-03 05:29</t>
  </si>
  <si>
    <t>P932</t>
  </si>
  <si>
    <t>U150</t>
  </si>
  <si>
    <t>S7800</t>
  </si>
  <si>
    <t>2024-01-07 12:02</t>
  </si>
  <si>
    <t>P709</t>
  </si>
  <si>
    <t>U970</t>
  </si>
  <si>
    <t>S4130</t>
  </si>
  <si>
    <t>2024-01-14 05:41</t>
  </si>
  <si>
    <t>P292</t>
  </si>
  <si>
    <t>U974</t>
  </si>
  <si>
    <t>S7235</t>
  </si>
  <si>
    <t>2024-01-22 07:17</t>
  </si>
  <si>
    <t>P792</t>
  </si>
  <si>
    <t>S7163</t>
  </si>
  <si>
    <t>2024-01-23 20:43</t>
  </si>
  <si>
    <t>P689</t>
  </si>
  <si>
    <t>S1373</t>
  </si>
  <si>
    <t>2024-01-10 09:49</t>
  </si>
  <si>
    <t>P855</t>
  </si>
  <si>
    <t>U123</t>
  </si>
  <si>
    <t>S6175</t>
  </si>
  <si>
    <t>2024-01-19 22:28</t>
  </si>
  <si>
    <t>P430</t>
  </si>
  <si>
    <t>U516</t>
  </si>
  <si>
    <t>S9124</t>
  </si>
  <si>
    <t>2024-01-02 08:22</t>
  </si>
  <si>
    <t>P858</t>
  </si>
  <si>
    <t>U550</t>
  </si>
  <si>
    <t>S8935</t>
  </si>
  <si>
    <t>2024-01-11 06:24</t>
  </si>
  <si>
    <t>S6354</t>
  </si>
  <si>
    <t>2024-01-06 18:30</t>
  </si>
  <si>
    <t>P587</t>
  </si>
  <si>
    <t>U737</t>
  </si>
  <si>
    <t>S6845</t>
  </si>
  <si>
    <t>2024-01-21 23:42</t>
  </si>
  <si>
    <t>P116</t>
  </si>
  <si>
    <t>S5104</t>
  </si>
  <si>
    <t>2024-01-12 23:08</t>
  </si>
  <si>
    <t>P556</t>
  </si>
  <si>
    <t>U267</t>
  </si>
  <si>
    <t>S3250</t>
  </si>
  <si>
    <t>2024-01-18 12:52</t>
  </si>
  <si>
    <t>S6816</t>
  </si>
  <si>
    <t>2024-01-12 16:58</t>
  </si>
  <si>
    <t>U405</t>
  </si>
  <si>
    <t>S8246</t>
  </si>
  <si>
    <t>2024-01-24 12:31</t>
  </si>
  <si>
    <t>U506</t>
  </si>
  <si>
    <t>S4185</t>
  </si>
  <si>
    <t>2024-01-04 01:48</t>
  </si>
  <si>
    <t>P497</t>
  </si>
  <si>
    <t>S3040</t>
  </si>
  <si>
    <t>2024-02-01 13:56</t>
  </si>
  <si>
    <t>P938</t>
  </si>
  <si>
    <t>U138</t>
  </si>
  <si>
    <t>S9964</t>
  </si>
  <si>
    <t>2024-01-02 16:58</t>
  </si>
  <si>
    <t>U843</t>
  </si>
  <si>
    <t>S9104</t>
  </si>
  <si>
    <t>2024-01-02 03:21</t>
  </si>
  <si>
    <t>P181</t>
  </si>
  <si>
    <t>S7205</t>
  </si>
  <si>
    <t>2024-01-03 11:31</t>
  </si>
  <si>
    <t>P245</t>
  </si>
  <si>
    <t>U140</t>
  </si>
  <si>
    <t>S8454</t>
  </si>
  <si>
    <t>2024-01-24 13:49</t>
  </si>
  <si>
    <t>P606</t>
  </si>
  <si>
    <t>U459</t>
  </si>
  <si>
    <t>S5872</t>
  </si>
  <si>
    <t>2024-01-13 09:30</t>
  </si>
  <si>
    <t>P805</t>
  </si>
  <si>
    <t>U240</t>
  </si>
  <si>
    <t>S9906</t>
  </si>
  <si>
    <t>2024-01-26 20:45</t>
  </si>
  <si>
    <t>P173</t>
  </si>
  <si>
    <t>U716</t>
  </si>
  <si>
    <t>S2516</t>
  </si>
  <si>
    <t>2024-02-03 18:34</t>
  </si>
  <si>
    <t>P721</t>
  </si>
  <si>
    <t>U179</t>
  </si>
  <si>
    <t>2024-01-13 19:11</t>
  </si>
  <si>
    <t>P536</t>
  </si>
  <si>
    <t>U127</t>
  </si>
  <si>
    <t>S6308</t>
  </si>
  <si>
    <t>2024-01-29 01:09</t>
  </si>
  <si>
    <t>U181</t>
  </si>
  <si>
    <t>2024-02-01 22:44</t>
  </si>
  <si>
    <t>U374</t>
  </si>
  <si>
    <t>S5987</t>
  </si>
  <si>
    <t>2024-01-24 20:08</t>
  </si>
  <si>
    <t>P784</t>
  </si>
  <si>
    <t>U597</t>
  </si>
  <si>
    <t>S3144</t>
  </si>
  <si>
    <t>2024-01-03 02:17</t>
  </si>
  <si>
    <t>U551</t>
  </si>
  <si>
    <t>S1438</t>
  </si>
  <si>
    <t>2024-01-22 01:33</t>
  </si>
  <si>
    <t>P446</t>
  </si>
  <si>
    <t>U349</t>
  </si>
  <si>
    <t>S5274</t>
  </si>
  <si>
    <t>2024-01-23 09:14</t>
  </si>
  <si>
    <t>P119</t>
  </si>
  <si>
    <t>U164</t>
  </si>
  <si>
    <t>S8064</t>
  </si>
  <si>
    <t>2024-01-28 14:17</t>
  </si>
  <si>
    <t>P504</t>
  </si>
  <si>
    <t>U744</t>
  </si>
  <si>
    <t>S8956</t>
  </si>
  <si>
    <t>2024-01-23 01:48</t>
  </si>
  <si>
    <t>P449</t>
  </si>
  <si>
    <t>U117</t>
  </si>
  <si>
    <t>S5598</t>
  </si>
  <si>
    <t>2024-02-03 00:35</t>
  </si>
  <si>
    <t>P772</t>
  </si>
  <si>
    <t>S9178</t>
  </si>
  <si>
    <t>2024-01-29 23:51</t>
  </si>
  <si>
    <t>U245</t>
  </si>
  <si>
    <t>S2152</t>
  </si>
  <si>
    <t>2024-01-31 14:20</t>
  </si>
  <si>
    <t>P828</t>
  </si>
  <si>
    <t>U642</t>
  </si>
  <si>
    <t>S5959</t>
  </si>
  <si>
    <t>2024-01-01 18:52</t>
  </si>
  <si>
    <t>P179</t>
  </si>
  <si>
    <t>U814</t>
  </si>
  <si>
    <t>S4827</t>
  </si>
  <si>
    <t>2024-01-17 12:41</t>
  </si>
  <si>
    <t>P462</t>
  </si>
  <si>
    <t>U689</t>
  </si>
  <si>
    <t>S3973</t>
  </si>
  <si>
    <t>2024-01-21 13:11</t>
  </si>
  <si>
    <t>P508</t>
  </si>
  <si>
    <t>S4816</t>
  </si>
  <si>
    <t>2024-01-13 20:49</t>
  </si>
  <si>
    <t>P864</t>
  </si>
  <si>
    <t>U418</t>
  </si>
  <si>
    <t>S5666</t>
  </si>
  <si>
    <t>2024-01-09 23:06</t>
  </si>
  <si>
    <t>P728</t>
  </si>
  <si>
    <t>U308</t>
  </si>
  <si>
    <t>S1855</t>
  </si>
  <si>
    <t>2024-01-11 14:07</t>
  </si>
  <si>
    <t>P939</t>
  </si>
  <si>
    <t>U666</t>
  </si>
  <si>
    <t>S1903</t>
  </si>
  <si>
    <t>2024-01-04 21:59</t>
  </si>
  <si>
    <t>P887</t>
  </si>
  <si>
    <t>U821</t>
  </si>
  <si>
    <t>S2196</t>
  </si>
  <si>
    <t>2024-01-10 17:14</t>
  </si>
  <si>
    <t>P351</t>
  </si>
  <si>
    <t>U412</t>
  </si>
  <si>
    <t>S9101</t>
  </si>
  <si>
    <t>2024-01-25 08:21</t>
  </si>
  <si>
    <t>P547</t>
  </si>
  <si>
    <t>U339</t>
  </si>
  <si>
    <t>S9236</t>
  </si>
  <si>
    <t>2024-02-03 06:48</t>
  </si>
  <si>
    <t>P822</t>
  </si>
  <si>
    <t>U465</t>
  </si>
  <si>
    <t>S5252</t>
  </si>
  <si>
    <t>2024-01-13 12:29</t>
  </si>
  <si>
    <t>P990</t>
  </si>
  <si>
    <t>S6046</t>
  </si>
  <si>
    <t>2024-01-28 04:20</t>
  </si>
  <si>
    <t>P987</t>
  </si>
  <si>
    <t>S9812</t>
  </si>
  <si>
    <t>2024-01-08 05:19</t>
  </si>
  <si>
    <t>P133</t>
  </si>
  <si>
    <t>U605</t>
  </si>
  <si>
    <t>S5290</t>
  </si>
  <si>
    <t>2024-01-27 06:26</t>
  </si>
  <si>
    <t>S1654</t>
  </si>
  <si>
    <t>2024-01-21 23:54</t>
  </si>
  <si>
    <t>P520</t>
  </si>
  <si>
    <t>S6660</t>
  </si>
  <si>
    <t>2024-01-29 13:02</t>
  </si>
  <si>
    <t>U537</t>
  </si>
  <si>
    <t>S7201</t>
  </si>
  <si>
    <t>2024-01-25 08:46</t>
  </si>
  <si>
    <t>P391</t>
  </si>
  <si>
    <t>S7397</t>
  </si>
  <si>
    <t>2024-01-14 18:21</t>
  </si>
  <si>
    <t>P921</t>
  </si>
  <si>
    <t>U304</t>
  </si>
  <si>
    <t>S8722</t>
  </si>
  <si>
    <t>2024-01-25 06:53</t>
  </si>
  <si>
    <t>P105</t>
  </si>
  <si>
    <t>U144</t>
  </si>
  <si>
    <t>S3982</t>
  </si>
  <si>
    <t>2024-01-22 02:14</t>
  </si>
  <si>
    <t>U494</t>
  </si>
  <si>
    <t>S1292</t>
  </si>
  <si>
    <t>2024-01-09 11:07</t>
  </si>
  <si>
    <t>P682</t>
  </si>
  <si>
    <t>U650</t>
  </si>
  <si>
    <t>S1263</t>
  </si>
  <si>
    <t>2024-01-21 07:51</t>
  </si>
  <si>
    <t>P284</t>
  </si>
  <si>
    <t>U490</t>
  </si>
  <si>
    <t>S8494</t>
  </si>
  <si>
    <t>2024-01-24 02:47</t>
  </si>
  <si>
    <t>U172</t>
  </si>
  <si>
    <t>S5900</t>
  </si>
  <si>
    <t>2024-01-01 18:49</t>
  </si>
  <si>
    <t>P100</t>
  </si>
  <si>
    <t>U414</t>
  </si>
  <si>
    <t>S1991</t>
  </si>
  <si>
    <t>2024-01-14 19:56</t>
  </si>
  <si>
    <t>P374</t>
  </si>
  <si>
    <t>U835</t>
  </si>
  <si>
    <t>S2107</t>
  </si>
  <si>
    <t>2024-01-16 21:47</t>
  </si>
  <si>
    <t>P141</t>
  </si>
  <si>
    <t>U334</t>
  </si>
  <si>
    <t>S8475</t>
  </si>
  <si>
    <t>2024-01-30 13:44</t>
  </si>
  <si>
    <t>P829</t>
  </si>
  <si>
    <t>S2916</t>
  </si>
  <si>
    <t>2024-01-28 05:02</t>
  </si>
  <si>
    <t>U924</t>
  </si>
  <si>
    <t>2024-02-03 09:30</t>
  </si>
  <si>
    <t>P801</t>
  </si>
  <si>
    <t>U960</t>
  </si>
  <si>
    <t>S5584</t>
  </si>
  <si>
    <t>2024-01-07 10:35</t>
  </si>
  <si>
    <t>P340</t>
  </si>
  <si>
    <t>S9485</t>
  </si>
  <si>
    <t>2024-01-23 09:19</t>
  </si>
  <si>
    <t>P106</t>
  </si>
  <si>
    <t>U939</t>
  </si>
  <si>
    <t>S8339</t>
  </si>
  <si>
    <t>2024-01-17 12:13</t>
  </si>
  <si>
    <t>U436</t>
  </si>
  <si>
    <t>S4945</t>
  </si>
  <si>
    <t>2024-01-23 05:34</t>
  </si>
  <si>
    <t>P812</t>
  </si>
  <si>
    <t>U253</t>
  </si>
  <si>
    <t>2024-01-02 10:34</t>
  </si>
  <si>
    <t>U393</t>
  </si>
  <si>
    <t>S4594</t>
  </si>
  <si>
    <t>2024-01-17 06:12</t>
  </si>
  <si>
    <t>P566</t>
  </si>
  <si>
    <t>U889</t>
  </si>
  <si>
    <t>S8844</t>
  </si>
  <si>
    <t>2024-01-04 08:58</t>
  </si>
  <si>
    <t>P249</t>
  </si>
  <si>
    <t>U298</t>
  </si>
  <si>
    <t>S7968</t>
  </si>
  <si>
    <t>2024-01-02 22:56</t>
  </si>
  <si>
    <t>P694</t>
  </si>
  <si>
    <t>U931</t>
  </si>
  <si>
    <t>S7546</t>
  </si>
  <si>
    <t>2024-01-29 06:05</t>
  </si>
  <si>
    <t>P947</t>
  </si>
  <si>
    <t>U989</t>
  </si>
  <si>
    <t>S2021</t>
  </si>
  <si>
    <t>2024-01-02 08:27</t>
  </si>
  <si>
    <t>P528</t>
  </si>
  <si>
    <t>S8938</t>
  </si>
  <si>
    <t>2024-01-08 13:30</t>
  </si>
  <si>
    <t>P417</t>
  </si>
  <si>
    <t>S3346</t>
  </si>
  <si>
    <t>2024-01-07 18:35</t>
  </si>
  <si>
    <t>P826</t>
  </si>
  <si>
    <t>U342</t>
  </si>
  <si>
    <t>2024-01-27 02:25</t>
  </si>
  <si>
    <t>P498</t>
  </si>
  <si>
    <t>S9614</t>
  </si>
  <si>
    <t>2024-01-28 06:00</t>
  </si>
  <si>
    <t>P905</t>
  </si>
  <si>
    <t>U357</t>
  </si>
  <si>
    <t>S3559</t>
  </si>
  <si>
    <t>2024-01-23 02:28</t>
  </si>
  <si>
    <t>P880</t>
  </si>
  <si>
    <t>U546</t>
  </si>
  <si>
    <t>S1849</t>
  </si>
  <si>
    <t>2024-01-10 07:25</t>
  </si>
  <si>
    <t>P332</t>
  </si>
  <si>
    <t>U149</t>
  </si>
  <si>
    <t>S4073</t>
  </si>
  <si>
    <t>2024-01-04 06:07</t>
  </si>
  <si>
    <t>P516</t>
  </si>
  <si>
    <t>U563</t>
  </si>
  <si>
    <t>S9746</t>
  </si>
  <si>
    <t>2024-01-10 22:52</t>
  </si>
  <si>
    <t>P367</t>
  </si>
  <si>
    <t>U963</t>
  </si>
  <si>
    <t>S6708</t>
  </si>
  <si>
    <t>2024-01-26 13:42</t>
  </si>
  <si>
    <t>P802</t>
  </si>
  <si>
    <t>U793</t>
  </si>
  <si>
    <t>S2200</t>
  </si>
  <si>
    <t>2024-01-29 22:55</t>
  </si>
  <si>
    <t>P481</t>
  </si>
  <si>
    <t>S3089</t>
  </si>
  <si>
    <t>2024-01-13 05:18</t>
  </si>
  <si>
    <t>U336</t>
  </si>
  <si>
    <t>S3209</t>
  </si>
  <si>
    <t>2024-01-30 07:48</t>
  </si>
  <si>
    <t>P559</t>
  </si>
  <si>
    <t>U573</t>
  </si>
  <si>
    <t>S6487</t>
  </si>
  <si>
    <t>2024-01-31 12:36</t>
  </si>
  <si>
    <t>P766</t>
  </si>
  <si>
    <t>U478</t>
  </si>
  <si>
    <t>S1160</t>
  </si>
  <si>
    <t>2024-01-27 00:25</t>
  </si>
  <si>
    <t>P365</t>
  </si>
  <si>
    <t>U403</t>
  </si>
  <si>
    <t>S7556</t>
  </si>
  <si>
    <t>2024-01-11 10:04</t>
  </si>
  <si>
    <t>P510</t>
  </si>
  <si>
    <t>S7645</t>
  </si>
  <si>
    <t>2024-01-13 02:13</t>
  </si>
  <si>
    <t>P914</t>
  </si>
  <si>
    <t>U659</t>
  </si>
  <si>
    <t>S7118</t>
  </si>
  <si>
    <t>2024-01-31 21:02</t>
  </si>
  <si>
    <t>P210</t>
  </si>
  <si>
    <t>U126</t>
  </si>
  <si>
    <t>S7444</t>
  </si>
  <si>
    <t>2024-01-20 22:11</t>
  </si>
  <si>
    <t>P785</t>
  </si>
  <si>
    <t>U680</t>
  </si>
  <si>
    <t>S9591</t>
  </si>
  <si>
    <t>2024-01-01 13:30</t>
  </si>
  <si>
    <t>P345</t>
  </si>
  <si>
    <t>S9172</t>
  </si>
  <si>
    <t>2024-01-13 14:46</t>
  </si>
  <si>
    <t>P473</t>
  </si>
  <si>
    <t>U944</t>
  </si>
  <si>
    <t>S6814</t>
  </si>
  <si>
    <t>2024-01-17 13:37</t>
  </si>
  <si>
    <t>P595</t>
  </si>
  <si>
    <t>U285</t>
  </si>
  <si>
    <t>S7963</t>
  </si>
  <si>
    <t>2024-01-21 16:26</t>
  </si>
  <si>
    <t>P281</t>
  </si>
  <si>
    <t>U417</t>
  </si>
  <si>
    <t>S9883</t>
  </si>
  <si>
    <t>2024-02-02 14:47</t>
  </si>
  <si>
    <t>P933</t>
  </si>
  <si>
    <t>U983</t>
  </si>
  <si>
    <t>S8352</t>
  </si>
  <si>
    <t>2024-01-27 23:57</t>
  </si>
  <si>
    <t>U142</t>
  </si>
  <si>
    <t>S9084</t>
  </si>
  <si>
    <t>2024-01-23 17:46</t>
  </si>
  <si>
    <t>P325</t>
  </si>
  <si>
    <t>S1312</t>
  </si>
  <si>
    <t>2024-01-14 01:04</t>
  </si>
  <si>
    <t>P246</t>
  </si>
  <si>
    <t>U779</t>
  </si>
  <si>
    <t>S9169</t>
  </si>
  <si>
    <t>2024-01-10 21:41</t>
  </si>
  <si>
    <t>U601</t>
  </si>
  <si>
    <t>2024-01-21 05:27</t>
  </si>
  <si>
    <t>P218</t>
  </si>
  <si>
    <t>U302</t>
  </si>
  <si>
    <t>S1264</t>
  </si>
  <si>
    <t>2024-01-31 12:27</t>
  </si>
  <si>
    <t>P793</t>
  </si>
  <si>
    <t>U681</t>
  </si>
  <si>
    <t>S4072</t>
  </si>
  <si>
    <t>2024-01-08 11:31</t>
  </si>
  <si>
    <t>P221</t>
  </si>
  <si>
    <t>U670</t>
  </si>
  <si>
    <t>S7036</t>
  </si>
  <si>
    <t>2024-01-11 05:12</t>
  </si>
  <si>
    <t>P697</t>
  </si>
  <si>
    <t>U191</t>
  </si>
  <si>
    <t>S5709</t>
  </si>
  <si>
    <t>2024-01-12 18:47</t>
  </si>
  <si>
    <t>P604</t>
  </si>
  <si>
    <t>U449</t>
  </si>
  <si>
    <t>S1700</t>
  </si>
  <si>
    <t>2024-01-09 21:42</t>
  </si>
  <si>
    <t>P328</t>
  </si>
  <si>
    <t>U548</t>
  </si>
  <si>
    <t>S8433</t>
  </si>
  <si>
    <t>2024-01-11 17:38</t>
  </si>
  <si>
    <t>U246</t>
  </si>
  <si>
    <t>S9237</t>
  </si>
  <si>
    <t>2024-01-28 15:07</t>
  </si>
  <si>
    <t>P239</t>
  </si>
  <si>
    <t>S9657</t>
  </si>
  <si>
    <t>2024-01-18 12:32</t>
  </si>
  <si>
    <t>P582</t>
  </si>
  <si>
    <t>U736</t>
  </si>
  <si>
    <t>S6836</t>
  </si>
  <si>
    <t>2024-01-26 21:23</t>
  </si>
  <si>
    <t>P647</t>
  </si>
  <si>
    <t>U474</t>
  </si>
  <si>
    <t>S8480</t>
  </si>
  <si>
    <t>2024-01-18 07:37</t>
  </si>
  <si>
    <t>P343</t>
  </si>
  <si>
    <t>U556</t>
  </si>
  <si>
    <t>S4854</t>
  </si>
  <si>
    <t>2024-01-12 09:53</t>
  </si>
  <si>
    <t>P468</t>
  </si>
  <si>
    <t>S5695</t>
  </si>
  <si>
    <t>2024-01-02 07:25</t>
  </si>
  <si>
    <t>P192</t>
  </si>
  <si>
    <t>S9453</t>
  </si>
  <si>
    <t>2024-01-23 17:32</t>
  </si>
  <si>
    <t>U184</t>
  </si>
  <si>
    <t>S4613</t>
  </si>
  <si>
    <t>2024-01-04 21:46</t>
  </si>
  <si>
    <t>P193</t>
  </si>
  <si>
    <t>U904</t>
  </si>
  <si>
    <t>S9108</t>
  </si>
  <si>
    <t>2024-01-24 11:42</t>
  </si>
  <si>
    <t>P637</t>
  </si>
  <si>
    <t>U926</t>
  </si>
  <si>
    <t>S6159</t>
  </si>
  <si>
    <t>2024-01-07 01:37</t>
  </si>
  <si>
    <t>P524</t>
  </si>
  <si>
    <t>U364</t>
  </si>
  <si>
    <t>2024-01-29 06:46</t>
  </si>
  <si>
    <t>P167</t>
  </si>
  <si>
    <t>U103</t>
  </si>
  <si>
    <t>S5359</t>
  </si>
  <si>
    <t>2024-01-08 09:58</t>
  </si>
  <si>
    <t>P759</t>
  </si>
  <si>
    <t>S3396</t>
  </si>
  <si>
    <t>2024-01-19 08:10</t>
  </si>
  <si>
    <t>P214</t>
  </si>
  <si>
    <t>U900</t>
  </si>
  <si>
    <t>S6413</t>
  </si>
  <si>
    <t>2024-01-27 14:42</t>
  </si>
  <si>
    <t>P641</t>
  </si>
  <si>
    <t>U497</t>
  </si>
  <si>
    <t>S4040</t>
  </si>
  <si>
    <t>2024-01-10 03:27</t>
  </si>
  <si>
    <t>P923</t>
  </si>
  <si>
    <t>U162</t>
  </si>
  <si>
    <t>S1687</t>
  </si>
  <si>
    <t>2024-01-14 13:24</t>
  </si>
  <si>
    <t>U857</t>
  </si>
  <si>
    <t>S6851</t>
  </si>
  <si>
    <t>2024-01-17 11:09</t>
  </si>
  <si>
    <t>P233</t>
  </si>
  <si>
    <t>U880</t>
  </si>
  <si>
    <t>S4057</t>
  </si>
  <si>
    <t>2024-01-23 05:52</t>
  </si>
  <si>
    <t>P110</t>
  </si>
  <si>
    <t>S6512</t>
  </si>
  <si>
    <t>2024-01-26 23:06</t>
  </si>
  <si>
    <t>U399</t>
  </si>
  <si>
    <t>S1012</t>
  </si>
  <si>
    <t>2024-01-13 22:16</t>
  </si>
  <si>
    <t>P949</t>
  </si>
  <si>
    <t>U188</t>
  </si>
  <si>
    <t>S7194</t>
  </si>
  <si>
    <t>2024-01-15 01:42</t>
  </si>
  <si>
    <t>P161</t>
  </si>
  <si>
    <t>U470</t>
  </si>
  <si>
    <t>S7249</t>
  </si>
  <si>
    <t>2024-01-01 09:01</t>
  </si>
  <si>
    <t>P530</t>
  </si>
  <si>
    <t>S4101</t>
  </si>
  <si>
    <t>2024-01-16 10:29</t>
  </si>
  <si>
    <t>U102</t>
  </si>
  <si>
    <t>S5667</t>
  </si>
  <si>
    <t>2024-01-07 14:34</t>
  </si>
  <si>
    <t>U420</t>
  </si>
  <si>
    <t>S6338</t>
  </si>
  <si>
    <t>2024-01-20 00:09</t>
  </si>
  <si>
    <t>P163</t>
  </si>
  <si>
    <t>U809</t>
  </si>
  <si>
    <t>S9276</t>
  </si>
  <si>
    <t>2024-01-01 16:47</t>
  </si>
  <si>
    <t>U999</t>
  </si>
  <si>
    <t>S2347</t>
  </si>
  <si>
    <t>2024-01-09 16:33</t>
  </si>
  <si>
    <t>P226</t>
  </si>
  <si>
    <t>S2244</t>
  </si>
  <si>
    <t>2024-01-18 07:55</t>
  </si>
  <si>
    <t>U966</t>
  </si>
  <si>
    <t>S9262</t>
  </si>
  <si>
    <t>2024-01-24 02:14</t>
  </si>
  <si>
    <t>P883</t>
  </si>
  <si>
    <t>U523</t>
  </si>
  <si>
    <t>S9390</t>
  </si>
  <si>
    <t>2024-01-12 03:44</t>
  </si>
  <si>
    <t>P589</t>
  </si>
  <si>
    <t>S3037</t>
  </si>
  <si>
    <t>2024-01-20 22:27</t>
  </si>
  <si>
    <t>P354</t>
  </si>
  <si>
    <t>2024-01-15 21:17</t>
  </si>
  <si>
    <t>U384</t>
  </si>
  <si>
    <t>S4428</t>
  </si>
  <si>
    <t>2024-01-06 10:57</t>
  </si>
  <si>
    <t>P934</t>
  </si>
  <si>
    <t>U236</t>
  </si>
  <si>
    <t>2024-01-24 19:48</t>
  </si>
  <si>
    <t>P176</t>
  </si>
  <si>
    <t>U631</t>
  </si>
  <si>
    <t>S1360</t>
  </si>
  <si>
    <t>2024-01-26 19:58</t>
  </si>
  <si>
    <t>P406</t>
  </si>
  <si>
    <t>U402</t>
  </si>
  <si>
    <t>S6602</t>
  </si>
  <si>
    <t>2024-01-16 08:07</t>
  </si>
  <si>
    <t>P691</t>
  </si>
  <si>
    <t>U227</t>
  </si>
  <si>
    <t>S5494</t>
  </si>
  <si>
    <t>2024-01-11 15:46</t>
  </si>
  <si>
    <t>P846</t>
  </si>
  <si>
    <t>U947</t>
  </si>
  <si>
    <t>S7043</t>
  </si>
  <si>
    <t>2024-01-19 22:46</t>
  </si>
  <si>
    <t>P375</t>
  </si>
  <si>
    <t>S6319</t>
  </si>
  <si>
    <t>2024-02-01 09:26</t>
  </si>
  <si>
    <t>U912</t>
  </si>
  <si>
    <t>S2658</t>
  </si>
  <si>
    <t>P746</t>
  </si>
  <si>
    <t>S2090</t>
  </si>
  <si>
    <t>2024-01-23 00:40</t>
  </si>
  <si>
    <t>U192</t>
  </si>
  <si>
    <t>S9856</t>
  </si>
  <si>
    <t>2024-01-09 22:55</t>
  </si>
  <si>
    <t>S1493</t>
  </si>
  <si>
    <t>2024-01-08 09:34</t>
  </si>
  <si>
    <t>P742</t>
  </si>
  <si>
    <t>U335</t>
  </si>
  <si>
    <t>S8469</t>
  </si>
  <si>
    <t>2024-01-27 18:36</t>
  </si>
  <si>
    <t>P710</t>
  </si>
  <si>
    <t>S7093</t>
  </si>
  <si>
    <t>2024-02-04 16:06</t>
  </si>
  <si>
    <t>P985</t>
  </si>
  <si>
    <t>U286</t>
  </si>
  <si>
    <t>S5542</t>
  </si>
  <si>
    <t>2024-01-31 10:56</t>
  </si>
  <si>
    <t>P936</t>
  </si>
  <si>
    <t>U837</t>
  </si>
  <si>
    <t>S9132</t>
  </si>
  <si>
    <t>2024-01-04 13:26</t>
  </si>
  <si>
    <t>P135</t>
  </si>
  <si>
    <t>S6626</t>
  </si>
  <si>
    <t>2024-01-09 08:46</t>
  </si>
  <si>
    <t>P251</t>
  </si>
  <si>
    <t>2024-01-21 15:16</t>
  </si>
  <si>
    <t>U957</t>
  </si>
  <si>
    <t>S2724</t>
  </si>
  <si>
    <t>2024-01-28 23:55</t>
  </si>
  <si>
    <t>P213</t>
  </si>
  <si>
    <t>U190</t>
  </si>
  <si>
    <t>S3711</t>
  </si>
  <si>
    <t>2024-01-18 02:42</t>
  </si>
  <si>
    <t>P963</t>
  </si>
  <si>
    <t>U620</t>
  </si>
  <si>
    <t>S7652</t>
  </si>
  <si>
    <t>2024-01-15 02:01</t>
  </si>
  <si>
    <t>S9245</t>
  </si>
  <si>
    <t>2024-01-10 15:10</t>
  </si>
  <si>
    <t>U572</t>
  </si>
  <si>
    <t>S6088</t>
  </si>
  <si>
    <t>2024-01-21 19:07</t>
  </si>
  <si>
    <t>S6527</t>
  </si>
  <si>
    <t>2024-02-04 16:32</t>
  </si>
  <si>
    <t>P437</t>
  </si>
  <si>
    <t>S5916</t>
  </si>
  <si>
    <t>2024-01-19 21:59</t>
  </si>
  <si>
    <t>P189</t>
  </si>
  <si>
    <t>U493</t>
  </si>
  <si>
    <t>S4326</t>
  </si>
  <si>
    <t>2024-02-01 04:30</t>
  </si>
  <si>
    <t>P666</t>
  </si>
  <si>
    <t>U400</t>
  </si>
  <si>
    <t>S1653</t>
  </si>
  <si>
    <t>2024-02-01 11:56</t>
  </si>
  <si>
    <t>P895</t>
  </si>
  <si>
    <t>U530</t>
  </si>
  <si>
    <t>S1462</t>
  </si>
  <si>
    <t>2024-01-26 07:54</t>
  </si>
  <si>
    <t>P262</t>
  </si>
  <si>
    <t>U284</t>
  </si>
  <si>
    <t>S8966</t>
  </si>
  <si>
    <t>2024-01-06 06:09</t>
  </si>
  <si>
    <t>S8510</t>
  </si>
  <si>
    <t>2024-01-27 16:24</t>
  </si>
  <si>
    <t>P151</t>
  </si>
  <si>
    <t>U536</t>
  </si>
  <si>
    <t>S9180</t>
  </si>
  <si>
    <t>2024-01-12 04:23</t>
  </si>
  <si>
    <t>P177</t>
  </si>
  <si>
    <t>U508</t>
  </si>
  <si>
    <t>S9409</t>
  </si>
  <si>
    <t>2024-01-20 05:01</t>
  </si>
  <si>
    <t>U351</t>
  </si>
  <si>
    <t>S4896</t>
  </si>
  <si>
    <t>2024-01-25 23:30</t>
  </si>
  <si>
    <t>U828</t>
  </si>
  <si>
    <t>S9516</t>
  </si>
  <si>
    <t>2024-01-08 02:58</t>
  </si>
  <si>
    <t>P224</t>
  </si>
  <si>
    <t>U624</t>
  </si>
  <si>
    <t>S6852</t>
  </si>
  <si>
    <t>2024-01-02 22:30</t>
  </si>
  <si>
    <t>P736</t>
  </si>
  <si>
    <t>S3581</t>
  </si>
  <si>
    <t>2024-01-14 16:55</t>
  </si>
  <si>
    <t>P811</t>
  </si>
  <si>
    <t>U312</t>
  </si>
  <si>
    <t>S4620</t>
  </si>
  <si>
    <t>2024-01-15 06:22</t>
  </si>
  <si>
    <t>U899</t>
  </si>
  <si>
    <t>S9312</t>
  </si>
  <si>
    <t>2024-01-29 06:43</t>
  </si>
  <si>
    <t>P810</t>
  </si>
  <si>
    <t>U832</t>
  </si>
  <si>
    <t>S4817</t>
  </si>
  <si>
    <t>2024-01-11 01:23</t>
  </si>
  <si>
    <t>P719</t>
  </si>
  <si>
    <t>S9577</t>
  </si>
  <si>
    <t>2024-01-30 08:00</t>
  </si>
  <si>
    <t>P419</t>
  </si>
  <si>
    <t>S2741</t>
  </si>
  <si>
    <t>2024-02-04 08:22</t>
  </si>
  <si>
    <t>U743</t>
  </si>
  <si>
    <t>S3085</t>
  </si>
  <si>
    <t>2024-02-01 07:18</t>
  </si>
  <si>
    <t>P300</t>
  </si>
  <si>
    <t>U423</t>
  </si>
  <si>
    <t>S3600</t>
  </si>
  <si>
    <t>2024-01-27 02:09</t>
  </si>
  <si>
    <t>P984</t>
  </si>
  <si>
    <t>U660</t>
  </si>
  <si>
    <t>2024-01-20 03:43</t>
  </si>
  <si>
    <t>P411</t>
  </si>
  <si>
    <t>S8126</t>
  </si>
  <si>
    <t>2024-01-07 21:06</t>
  </si>
  <si>
    <t>P454</t>
  </si>
  <si>
    <t>S1301</t>
  </si>
  <si>
    <t>2024-01-17 14:17</t>
  </si>
  <si>
    <t>P317</t>
  </si>
  <si>
    <t>U920</t>
  </si>
  <si>
    <t>S6480</t>
  </si>
  <si>
    <t>2024-01-10 21:49</t>
  </si>
  <si>
    <t>P355</t>
  </si>
  <si>
    <t>U293</t>
  </si>
  <si>
    <t>S5965</t>
  </si>
  <si>
    <t>2024-01-17 06:06</t>
  </si>
  <si>
    <t>P472</t>
  </si>
  <si>
    <t>S1635</t>
  </si>
  <si>
    <t>2024-01-21 07:45</t>
  </si>
  <si>
    <t>P920</t>
  </si>
  <si>
    <t>U769</t>
  </si>
  <si>
    <t>S7268</t>
  </si>
  <si>
    <t>2024-01-27 07:41</t>
  </si>
  <si>
    <t>P525</t>
  </si>
  <si>
    <t>S7374</t>
  </si>
  <si>
    <t>2024-01-30 15:03</t>
  </si>
  <si>
    <t>P207</t>
  </si>
  <si>
    <t>S9783</t>
  </si>
  <si>
    <t>2024-01-19 23:41</t>
  </si>
  <si>
    <t>U959</t>
  </si>
  <si>
    <t>S2726</t>
  </si>
  <si>
    <t>2024-01-04 08:07</t>
  </si>
  <si>
    <t>P840</t>
  </si>
  <si>
    <t>U553</t>
  </si>
  <si>
    <t>S7215</t>
  </si>
  <si>
    <t>2024-01-15 07:20</t>
  </si>
  <si>
    <t>P150</t>
  </si>
  <si>
    <t>U535</t>
  </si>
  <si>
    <t>S8532</t>
  </si>
  <si>
    <t>2024-01-16 19:45</t>
  </si>
  <si>
    <t>P202</t>
  </si>
  <si>
    <t>U502</t>
  </si>
  <si>
    <t>S1294</t>
  </si>
  <si>
    <t>2024-01-10 23:19</t>
  </si>
  <si>
    <t>P798</t>
  </si>
  <si>
    <t>U927</t>
  </si>
  <si>
    <t>S7815</t>
  </si>
  <si>
    <t>2024-02-01 22:40</t>
  </si>
  <si>
    <t>P121</t>
  </si>
  <si>
    <t>U209</t>
  </si>
  <si>
    <t>S5743</t>
  </si>
  <si>
    <t>2024-01-26 10:56</t>
  </si>
  <si>
    <t>P882</t>
  </si>
  <si>
    <t>U499</t>
  </si>
  <si>
    <t>S2956</t>
  </si>
  <si>
    <t>2024-01-12 08:40</t>
  </si>
  <si>
    <t>S4902</t>
  </si>
  <si>
    <t>2024-01-23 07:33</t>
  </si>
  <si>
    <t>P911</t>
  </si>
  <si>
    <t>U451</t>
  </si>
  <si>
    <t>S8536</t>
  </si>
  <si>
    <t>2024-01-26 08:59</t>
  </si>
  <si>
    <t>P703</t>
  </si>
  <si>
    <t>U512</t>
  </si>
  <si>
    <t>S5744</t>
  </si>
  <si>
    <t>2024-01-10 21:28</t>
  </si>
  <si>
    <t>P986</t>
  </si>
  <si>
    <t>U309</t>
  </si>
  <si>
    <t>S8944</t>
  </si>
  <si>
    <t>2024-01-21 16:41</t>
  </si>
  <si>
    <t>P820</t>
  </si>
  <si>
    <t>U416</t>
  </si>
  <si>
    <t>S8024</t>
  </si>
  <si>
    <t>2024-02-03 00:12</t>
  </si>
  <si>
    <t>P548</t>
  </si>
  <si>
    <t>U321</t>
  </si>
  <si>
    <t>S2094</t>
  </si>
  <si>
    <t>2024-01-26 14:52</t>
  </si>
  <si>
    <t>S3345</t>
  </si>
  <si>
    <t>2024-01-10 19:37</t>
  </si>
  <si>
    <t>P583</t>
  </si>
  <si>
    <t>S3962</t>
  </si>
  <si>
    <t>2024-01-10 13:45</t>
  </si>
  <si>
    <t>P125</t>
  </si>
  <si>
    <t>U967</t>
  </si>
  <si>
    <t>S3991</t>
  </si>
  <si>
    <t>2024-01-06 02:34</t>
  </si>
  <si>
    <t>P511</t>
  </si>
  <si>
    <t>S9061</t>
  </si>
  <si>
    <t>2024-01-02 03:41</t>
  </si>
  <si>
    <t>P760</t>
  </si>
  <si>
    <t>U797</t>
  </si>
  <si>
    <t>S2791</t>
  </si>
  <si>
    <t>2024-01-30 07:12</t>
  </si>
  <si>
    <t>P823</t>
  </si>
  <si>
    <t>U440</t>
  </si>
  <si>
    <t>S7025</t>
  </si>
  <si>
    <t>2024-01-10 09:01</t>
  </si>
  <si>
    <t>P153</t>
  </si>
  <si>
    <t>S3643</t>
  </si>
  <si>
    <t>2024-01-21 09:26</t>
  </si>
  <si>
    <t>P414</t>
  </si>
  <si>
    <t>U271</t>
  </si>
  <si>
    <t>S9907</t>
  </si>
  <si>
    <t>2024-01-24 00:52</t>
  </si>
  <si>
    <t>P687</t>
  </si>
  <si>
    <t>U840</t>
  </si>
  <si>
    <t>S7313</t>
  </si>
  <si>
    <t>2024-02-01 05:02</t>
  </si>
  <si>
    <t>P217</t>
  </si>
  <si>
    <t>U981</t>
  </si>
  <si>
    <t>S1187</t>
  </si>
  <si>
    <t>2024-01-14 09:20</t>
  </si>
  <si>
    <t>P871</t>
  </si>
  <si>
    <t>U969</t>
  </si>
  <si>
    <t>S7631</t>
  </si>
  <si>
    <t>2024-01-12 21:30</t>
  </si>
  <si>
    <t>S9079</t>
  </si>
  <si>
    <t>2024-01-22 19:09</t>
  </si>
  <si>
    <t>P781</t>
  </si>
  <si>
    <t>S9602</t>
  </si>
  <si>
    <t>2024-01-22 03:05</t>
  </si>
  <si>
    <t>P601</t>
  </si>
  <si>
    <t>U954</t>
  </si>
  <si>
    <t>S5559</t>
  </si>
  <si>
    <t>2024-02-01 02:17</t>
  </si>
  <si>
    <t>P551</t>
  </si>
  <si>
    <t>S7902</t>
  </si>
  <si>
    <t>2024-01-13 05:43</t>
  </si>
  <si>
    <t>P405</t>
  </si>
  <si>
    <t>S9111</t>
  </si>
  <si>
    <t>2024-01-06 09:19</t>
  </si>
  <si>
    <t>S5550</t>
  </si>
  <si>
    <t>2024-01-12 01:55</t>
  </si>
  <si>
    <t>P544</t>
  </si>
  <si>
    <t>U598</t>
  </si>
  <si>
    <t>S2792</t>
  </si>
  <si>
    <t>2024-01-15 10:34</t>
  </si>
  <si>
    <t>P452</t>
  </si>
  <si>
    <t>U830</t>
  </si>
  <si>
    <t>S6783</t>
  </si>
  <si>
    <t>2024-01-29 02:33</t>
  </si>
  <si>
    <t>P612</t>
  </si>
  <si>
    <t>S9066</t>
  </si>
  <si>
    <t>2024-01-04 16:10</t>
  </si>
  <si>
    <t>P107</t>
  </si>
  <si>
    <t>U319</t>
  </si>
  <si>
    <t>S3020</t>
  </si>
  <si>
    <t>2024-01-14 09:08</t>
  </si>
  <si>
    <t>S5815</t>
  </si>
  <si>
    <t>2024-01-06 07:57</t>
  </si>
  <si>
    <t>U381</t>
  </si>
  <si>
    <t>S3842</t>
  </si>
  <si>
    <t>2024-01-30 01:13</t>
  </si>
  <si>
    <t>P488</t>
  </si>
  <si>
    <t>S2672</t>
  </si>
  <si>
    <t>2024-01-03 18:10</t>
  </si>
  <si>
    <t>P318</t>
  </si>
  <si>
    <t>U206</t>
  </si>
  <si>
    <t>S6495</t>
  </si>
  <si>
    <t>2024-01-11 14:31</t>
  </si>
  <si>
    <t>P754</t>
  </si>
  <si>
    <t>U762</t>
  </si>
  <si>
    <t>S3579</t>
  </si>
  <si>
    <t>2024-01-17 01:12</t>
  </si>
  <si>
    <t>P562</t>
  </si>
  <si>
    <t>U137</t>
  </si>
  <si>
    <t>S7222</t>
  </si>
  <si>
    <t>2024-01-06 17:51</t>
  </si>
  <si>
    <t>S6561</t>
  </si>
  <si>
    <t>2024-01-23 16:50</t>
  </si>
  <si>
    <t>P966</t>
  </si>
  <si>
    <t>S4621</t>
  </si>
  <si>
    <t>2024-01-27 20:12</t>
  </si>
  <si>
    <t>P603</t>
  </si>
  <si>
    <t>U580</t>
  </si>
  <si>
    <t>S2084</t>
  </si>
  <si>
    <t>2024-01-24 01:09</t>
  </si>
  <si>
    <t>S5995</t>
  </si>
  <si>
    <t>2024-01-27 01:06</t>
  </si>
  <si>
    <t>P722</t>
  </si>
  <si>
    <t>U156</t>
  </si>
  <si>
    <t>S2463</t>
  </si>
  <si>
    <t>2024-01-04 17:42</t>
  </si>
  <si>
    <t>S8412</t>
  </si>
  <si>
    <t>2024-02-02 03:43</t>
  </si>
  <si>
    <t>P773</t>
  </si>
  <si>
    <t>S8955</t>
  </si>
  <si>
    <t>2024-01-07 05:21</t>
  </si>
  <si>
    <t>P953</t>
  </si>
  <si>
    <t>U836</t>
  </si>
  <si>
    <t>S9144</t>
  </si>
  <si>
    <t>2024-02-04 06:53</t>
  </si>
  <si>
    <t>P521</t>
  </si>
  <si>
    <t>U354</t>
  </si>
  <si>
    <t>S1507</t>
  </si>
  <si>
    <t>2024-01-30 18:11</t>
  </si>
  <si>
    <t>P873</t>
  </si>
  <si>
    <t>U507</t>
  </si>
  <si>
    <t>S5417</t>
  </si>
  <si>
    <t>2024-01-04 06:32</t>
  </si>
  <si>
    <t>P630</t>
  </si>
  <si>
    <t>U930</t>
  </si>
  <si>
    <t>S1206</t>
  </si>
  <si>
    <t>2024-01-07 18:29</t>
  </si>
  <si>
    <t>U994</t>
  </si>
  <si>
    <t>S6608</t>
  </si>
  <si>
    <t>2024-01-05 20:18</t>
  </si>
  <si>
    <t>P535</t>
  </si>
  <si>
    <t>S8135</t>
  </si>
  <si>
    <t>2024-01-20 10:35</t>
  </si>
  <si>
    <t>U677</t>
  </si>
  <si>
    <t>S6387</t>
  </si>
  <si>
    <t>2024-01-23 16:23</t>
  </si>
  <si>
    <t>P546</t>
  </si>
  <si>
    <t>U196</t>
  </si>
  <si>
    <t>S8932</t>
  </si>
  <si>
    <t>2024-01-27 06:42</t>
  </si>
  <si>
    <t>P893</t>
  </si>
  <si>
    <t>U176</t>
  </si>
  <si>
    <t>S4685</t>
  </si>
  <si>
    <t>2024-01-28 19:23</t>
  </si>
  <si>
    <t>U121</t>
  </si>
  <si>
    <t>S7353</t>
  </si>
  <si>
    <t>2024-01-16 21:14</t>
  </si>
  <si>
    <t>U248</t>
  </si>
  <si>
    <t>S7589</t>
  </si>
  <si>
    <t>2024-01-26 22:20</t>
  </si>
  <si>
    <t>P492</t>
  </si>
  <si>
    <t>S1637</t>
  </si>
  <si>
    <t>2024-01-01 21:08</t>
  </si>
  <si>
    <t>P657</t>
  </si>
  <si>
    <t>S8302</t>
  </si>
  <si>
    <t>2024-01-13 21:17</t>
  </si>
  <si>
    <t>U337</t>
  </si>
  <si>
    <t>S2310</t>
  </si>
  <si>
    <t>2024-01-13 10:24</t>
  </si>
  <si>
    <t>P652</t>
  </si>
  <si>
    <t>U419</t>
  </si>
  <si>
    <t>S6131</t>
  </si>
  <si>
    <t>2024-02-01 10:40</t>
  </si>
  <si>
    <t>P297</t>
  </si>
  <si>
    <t>S1887</t>
  </si>
  <si>
    <t>2024-01-08 21:17</t>
  </si>
  <si>
    <t>U998</t>
  </si>
  <si>
    <t>S6564</t>
  </si>
  <si>
    <t>2024-01-06 04:52</t>
  </si>
  <si>
    <t>U853</t>
  </si>
  <si>
    <t>S8650</t>
  </si>
  <si>
    <t>2024-01-15 02:57</t>
  </si>
  <si>
    <t>P215</t>
  </si>
  <si>
    <t>U389</t>
  </si>
  <si>
    <t>S9507</t>
  </si>
  <si>
    <t>2024-01-03 13:24</t>
  </si>
  <si>
    <t>P545</t>
  </si>
  <si>
    <t>S4856</t>
  </si>
  <si>
    <t>2024-01-20 09:03</t>
  </si>
  <si>
    <t>P663</t>
  </si>
  <si>
    <t>S2495</t>
  </si>
  <si>
    <t>2024-01-15 08:12</t>
  </si>
  <si>
    <t>U276</t>
  </si>
  <si>
    <t>S5184</t>
  </si>
  <si>
    <t>2024-01-25 01:34</t>
  </si>
  <si>
    <t>P447</t>
  </si>
  <si>
    <t>S6352</t>
  </si>
  <si>
    <t>2024-02-01 01:50</t>
  </si>
  <si>
    <t>U365</t>
  </si>
  <si>
    <t>S4527</t>
  </si>
  <si>
    <t>2024-01-31 03:28</t>
  </si>
  <si>
    <t>P651</t>
  </si>
  <si>
    <t>S1963</t>
  </si>
  <si>
    <t>2024-01-05 09:29</t>
  </si>
  <si>
    <t>P243</t>
  </si>
  <si>
    <t>S5386</t>
  </si>
  <si>
    <t>2024-01-06 20:57</t>
  </si>
  <si>
    <t>S2416</t>
  </si>
  <si>
    <t>2024-01-12 04:17</t>
  </si>
  <si>
    <t>P360</t>
  </si>
  <si>
    <t>U167</t>
  </si>
  <si>
    <t>S7900</t>
  </si>
  <si>
    <t>2024-01-31 02:28</t>
  </si>
  <si>
    <t>P669</t>
  </si>
  <si>
    <t>U327</t>
  </si>
  <si>
    <t>S9736</t>
  </si>
  <si>
    <t>2024-02-03 03:43</t>
  </si>
  <si>
    <t>P444</t>
  </si>
  <si>
    <t>U435</t>
  </si>
  <si>
    <t>S7723</t>
  </si>
  <si>
    <t>2024-01-25 01:37</t>
  </si>
  <si>
    <t>U344</t>
  </si>
  <si>
    <t>S9919</t>
  </si>
  <si>
    <t>2024-01-21 23:48</t>
  </si>
  <si>
    <t>U761</t>
  </si>
  <si>
    <t>S8609</t>
  </si>
  <si>
    <t>2024-02-02 07:30</t>
  </si>
  <si>
    <t>P968</t>
  </si>
  <si>
    <t>U674</t>
  </si>
  <si>
    <t>S1111</t>
  </si>
  <si>
    <t>2024-01-02 23:05</t>
  </si>
  <si>
    <t>P558</t>
  </si>
  <si>
    <t>U249</t>
  </si>
  <si>
    <t>S1422</t>
  </si>
  <si>
    <t>2024-02-01 23:12</t>
  </si>
  <si>
    <t>P560</t>
  </si>
  <si>
    <t>U827</t>
  </si>
  <si>
    <t>S6479</t>
  </si>
  <si>
    <t>2024-01-27 14:05</t>
  </si>
  <si>
    <t>S8780</t>
  </si>
  <si>
    <t>2024-01-04 22:10</t>
  </si>
  <si>
    <t>U607</t>
  </si>
  <si>
    <t>S4919</t>
  </si>
  <si>
    <t>2024-01-26 18:37</t>
  </si>
  <si>
    <t>P235</t>
  </si>
  <si>
    <t>U614</t>
  </si>
  <si>
    <t>S1425</t>
  </si>
  <si>
    <t>2024-01-17 13:23</t>
  </si>
  <si>
    <t>U207</t>
  </si>
  <si>
    <t>S4022</t>
  </si>
  <si>
    <t>2024-01-06 20:42</t>
  </si>
  <si>
    <t>P370</t>
  </si>
  <si>
    <t>U378</t>
  </si>
  <si>
    <t>S2920</t>
  </si>
  <si>
    <t>2024-01-22 18:40</t>
  </si>
  <si>
    <t>P455</t>
  </si>
  <si>
    <t>S7574</t>
  </si>
  <si>
    <t>2024-01-13 09:34</t>
  </si>
  <si>
    <t>U450</t>
  </si>
  <si>
    <t>S5877</t>
  </si>
  <si>
    <t>2024-01-13 07:18</t>
  </si>
  <si>
    <t>S5247</t>
  </si>
  <si>
    <t>2024-01-04 20:49</t>
  </si>
  <si>
    <t>P336</t>
  </si>
  <si>
    <t>S7430</t>
  </si>
  <si>
    <t>2024-01-20 15:06</t>
  </si>
  <si>
    <t>P337</t>
  </si>
  <si>
    <t>S8684</t>
  </si>
  <si>
    <t>2024-01-02 00:20</t>
  </si>
  <si>
    <t>P799</t>
  </si>
  <si>
    <t>S1359</t>
  </si>
  <si>
    <t>2024-02-03 20:58</t>
  </si>
  <si>
    <t>P383</t>
  </si>
  <si>
    <t>U935</t>
  </si>
  <si>
    <t>S8136</t>
  </si>
  <si>
    <t>2024-01-08 17:35</t>
  </si>
  <si>
    <t>P557</t>
  </si>
  <si>
    <t>S5505</t>
  </si>
  <si>
    <t>2024-01-03 23:21</t>
  </si>
  <si>
    <t>P619</t>
  </si>
  <si>
    <t>U844</t>
  </si>
  <si>
    <t>S7505</t>
  </si>
  <si>
    <t>2024-02-01 08:29</t>
  </si>
  <si>
    <t>U831</t>
  </si>
  <si>
    <t>S8838</t>
  </si>
  <si>
    <t>2024-02-04 08:45</t>
  </si>
  <si>
    <t>S9368</t>
  </si>
  <si>
    <t>2024-01-13 22:12</t>
  </si>
  <si>
    <t>P273</t>
  </si>
  <si>
    <t>U790</t>
  </si>
  <si>
    <t>S8718</t>
  </si>
  <si>
    <t>2024-01-29 10:19</t>
  </si>
  <si>
    <t>S9407</t>
  </si>
  <si>
    <t>2024-01-27 07:28</t>
  </si>
  <si>
    <t>P475</t>
  </si>
  <si>
    <t>S5116</t>
  </si>
  <si>
    <t>2024-01-09 13:23</t>
  </si>
  <si>
    <t>P180</t>
  </si>
  <si>
    <t>U923</t>
  </si>
  <si>
    <t>S2119</t>
  </si>
  <si>
    <t>2024-01-25 11:07</t>
  </si>
  <si>
    <t>P140</t>
  </si>
  <si>
    <t>2024-01-25 20:09</t>
  </si>
  <si>
    <t>U972</t>
  </si>
  <si>
    <t>S7357</t>
  </si>
  <si>
    <t>2024-01-09 07:38</t>
  </si>
  <si>
    <t>P415</t>
  </si>
  <si>
    <t>S5000</t>
  </si>
  <si>
    <t>2024-01-10 01:52</t>
  </si>
  <si>
    <t>P971</t>
  </si>
  <si>
    <t>S4279</t>
  </si>
  <si>
    <t>2024-01-23 15:05</t>
  </si>
  <si>
    <t>P836</t>
  </si>
  <si>
    <t>S9048</t>
  </si>
  <si>
    <t>2024-01-30 16:43</t>
  </si>
  <si>
    <t>P814</t>
  </si>
  <si>
    <t>S4331</t>
  </si>
  <si>
    <t>2024-01-07 23:21</t>
  </si>
  <si>
    <t>S2688</t>
  </si>
  <si>
    <t>2024-02-02 22:22</t>
  </si>
  <si>
    <t>S1047</t>
  </si>
  <si>
    <t>2024-01-28 21:37</t>
  </si>
  <si>
    <t>P496</t>
  </si>
  <si>
    <t>U739</t>
  </si>
  <si>
    <t>S4180</t>
  </si>
  <si>
    <t>2024-01-30 21:28</t>
  </si>
  <si>
    <t>P435</t>
  </si>
  <si>
    <t>U781</t>
  </si>
  <si>
    <t>S8995</t>
  </si>
  <si>
    <t>2024-01-18 23:09</t>
  </si>
  <si>
    <t>P690</t>
  </si>
  <si>
    <t>U446</t>
  </si>
  <si>
    <t>S6163</t>
  </si>
  <si>
    <t>2024-01-21 11:12</t>
  </si>
  <si>
    <t>U588</t>
  </si>
  <si>
    <t>S8748</t>
  </si>
  <si>
    <t>2024-01-03 12:38</t>
  </si>
  <si>
    <t>S4164</t>
  </si>
  <si>
    <t>2024-01-16 15:30</t>
  </si>
  <si>
    <t>P326</t>
  </si>
  <si>
    <t>S6549</t>
  </si>
  <si>
    <t>2024-01-01 10:31</t>
  </si>
  <si>
    <t>U421</t>
  </si>
  <si>
    <t>S7226</t>
  </si>
  <si>
    <t>2024-01-03 01:34</t>
  </si>
  <si>
    <t>P592</t>
  </si>
  <si>
    <t>U428</t>
  </si>
  <si>
    <t>S4845</t>
  </si>
  <si>
    <t>2024-01-26 14:47</t>
  </si>
  <si>
    <t>S2227</t>
  </si>
  <si>
    <t>2024-01-21 10:35</t>
  </si>
  <si>
    <t>P693</t>
  </si>
  <si>
    <t>U370</t>
  </si>
  <si>
    <t>S7394</t>
  </si>
  <si>
    <t>2024-01-22 03:57</t>
  </si>
  <si>
    <t>S7338</t>
  </si>
  <si>
    <t>2024-01-14 09:51</t>
  </si>
  <si>
    <t>S7632</t>
  </si>
  <si>
    <t>2024-01-03 18:54</t>
  </si>
  <si>
    <t>S5316</t>
  </si>
  <si>
    <t>2024-01-12 09:45</t>
  </si>
  <si>
    <t>P585</t>
  </si>
  <si>
    <t>S3864</t>
  </si>
  <si>
    <t>2024-01-20 09:51</t>
  </si>
  <si>
    <t>P313</t>
  </si>
  <si>
    <t>S2580</t>
  </si>
  <si>
    <t>2024-01-18 19:10</t>
  </si>
  <si>
    <t>P357</t>
  </si>
  <si>
    <t>U768</t>
  </si>
  <si>
    <t>S9317</t>
  </si>
  <si>
    <t>2024-01-26 17:08</t>
  </si>
  <si>
    <t>S6759</t>
  </si>
  <si>
    <t>2024-01-23 13:34</t>
  </si>
  <si>
    <t>P617</t>
  </si>
  <si>
    <t>S1180</t>
  </si>
  <si>
    <t>2024-01-17 02:56</t>
  </si>
  <si>
    <t>P650</t>
  </si>
  <si>
    <t>S1732</t>
  </si>
  <si>
    <t>2024-01-30 17:13</t>
  </si>
  <si>
    <t>P967</t>
  </si>
  <si>
    <t>U914</t>
  </si>
  <si>
    <t>S9560</t>
  </si>
  <si>
    <t>2024-01-27 17:44</t>
  </si>
  <si>
    <t>P927</t>
  </si>
  <si>
    <t>S7305</t>
  </si>
  <si>
    <t>2024-01-30 03:42</t>
  </si>
  <si>
    <t>P170</t>
  </si>
  <si>
    <t>U622</t>
  </si>
  <si>
    <t>S7497</t>
  </si>
  <si>
    <t>2024-01-28 05:18</t>
  </si>
  <si>
    <t>P727</t>
  </si>
  <si>
    <t>U891</t>
  </si>
  <si>
    <t>S7782</t>
  </si>
  <si>
    <t>2024-01-22 03:39</t>
  </si>
  <si>
    <t>U789</t>
  </si>
  <si>
    <t>S9418</t>
  </si>
  <si>
    <t>2024-01-21 12:12</t>
  </si>
  <si>
    <t>S3978</t>
  </si>
  <si>
    <t>2024-02-01 14:18</t>
  </si>
  <si>
    <t>P433</t>
  </si>
  <si>
    <t>2024-01-19 09:12</t>
  </si>
  <si>
    <t>P955</t>
  </si>
  <si>
    <t>S3167</t>
  </si>
  <si>
    <t>2024-01-19 09:36</t>
  </si>
  <si>
    <t>P231</t>
  </si>
  <si>
    <t>U848</t>
  </si>
  <si>
    <t>S5960</t>
  </si>
  <si>
    <t>2024-01-29 09:13</t>
  </si>
  <si>
    <t>P244</t>
  </si>
  <si>
    <t>U119</t>
  </si>
  <si>
    <t>S6935</t>
  </si>
  <si>
    <t>2024-01-06 14:32</t>
  </si>
  <si>
    <t>P661</t>
  </si>
  <si>
    <t>U358</t>
  </si>
  <si>
    <t>S2238</t>
  </si>
  <si>
    <t>2024-01-10 08:26</t>
  </si>
  <si>
    <t>S6665</t>
  </si>
  <si>
    <t>2024-01-01 05:29</t>
  </si>
  <si>
    <t>P400</t>
  </si>
  <si>
    <t>U232</t>
  </si>
  <si>
    <t>S8952</t>
  </si>
  <si>
    <t>2024-01-24 15:28</t>
  </si>
  <si>
    <t>S6457</t>
  </si>
  <si>
    <t>2024-01-29 10:25</t>
  </si>
  <si>
    <t>U130</t>
  </si>
  <si>
    <t>S9340</t>
  </si>
  <si>
    <t>2024-01-24 04:38</t>
  </si>
  <si>
    <t>P364</t>
  </si>
  <si>
    <t>S4079</t>
  </si>
  <si>
    <t>2024-01-14 13:59</t>
  </si>
  <si>
    <t>P542</t>
  </si>
  <si>
    <t>2024-01-08 11:12</t>
  </si>
  <si>
    <t>P388</t>
  </si>
  <si>
    <t>U324</t>
  </si>
  <si>
    <t>S5949</t>
  </si>
  <si>
    <t>2024-01-12 19:03</t>
  </si>
  <si>
    <t>U221</t>
  </si>
  <si>
    <t>S6228</t>
  </si>
  <si>
    <t>2024-01-22 06:20</t>
  </si>
  <si>
    <t>P311</t>
  </si>
  <si>
    <t>U251</t>
  </si>
  <si>
    <t>S5180</t>
  </si>
  <si>
    <t>2024-02-03 15:37</t>
  </si>
  <si>
    <t>S8997</t>
  </si>
  <si>
    <t>2024-01-23 18:40</t>
  </si>
  <si>
    <t>U521</t>
  </si>
  <si>
    <t>S1823</t>
  </si>
  <si>
    <t>2024-01-05 22:36</t>
  </si>
  <si>
    <t>U505</t>
  </si>
  <si>
    <t>S4844</t>
  </si>
  <si>
    <t>2024-01-11 06:56</t>
  </si>
  <si>
    <t>P668</t>
  </si>
  <si>
    <t>S9794</t>
  </si>
  <si>
    <t>2024-02-04 05:37</t>
  </si>
  <si>
    <t>U936</t>
  </si>
  <si>
    <t>S1930</t>
  </si>
  <si>
    <t>2024-01-30 04:53</t>
  </si>
  <si>
    <t>S8964</t>
  </si>
  <si>
    <t>2024-01-24 23:34</t>
  </si>
  <si>
    <t>P285</t>
  </si>
  <si>
    <t>U710</t>
  </si>
  <si>
    <t>S2039</t>
  </si>
  <si>
    <t>2024-01-29 03:41</t>
  </si>
  <si>
    <t>P333</t>
  </si>
  <si>
    <t>U905</t>
  </si>
  <si>
    <t>S1813</t>
  </si>
  <si>
    <t>2024-01-24 00:01</t>
  </si>
  <si>
    <t>U480</t>
  </si>
  <si>
    <t>S2266</t>
  </si>
  <si>
    <t>2024-01-29 17:37</t>
  </si>
  <si>
    <t>U269</t>
  </si>
  <si>
    <t>S1958</t>
  </si>
  <si>
    <t>2024-01-15 03:06</t>
  </si>
  <si>
    <t>U139</t>
  </si>
  <si>
    <t>S1125</t>
  </si>
  <si>
    <t>2024-01-20 05:39</t>
  </si>
  <si>
    <t>P818</t>
  </si>
  <si>
    <t>S9537</t>
  </si>
  <si>
    <t>2024-01-30 17:01</t>
  </si>
  <si>
    <t>P701</t>
  </si>
  <si>
    <t>S6794</t>
  </si>
  <si>
    <t>2024-01-30 09:37</t>
  </si>
  <si>
    <t>P450</t>
  </si>
  <si>
    <t>U189</t>
  </si>
  <si>
    <t>S5936</t>
  </si>
  <si>
    <t>2024-01-10 18:49</t>
  </si>
  <si>
    <t>P377</t>
  </si>
  <si>
    <t>U287</t>
  </si>
  <si>
    <t>S4002</t>
  </si>
  <si>
    <t>2024-02-03 14:14</t>
  </si>
  <si>
    <t>P734</t>
  </si>
  <si>
    <t>U627</t>
  </si>
  <si>
    <t>S4500</t>
  </si>
  <si>
    <t>P144</t>
  </si>
  <si>
    <t>S2475</t>
  </si>
  <si>
    <t>2024-01-11 20:13</t>
  </si>
  <si>
    <t>P904</t>
  </si>
  <si>
    <t>S5770</t>
  </si>
  <si>
    <t>2024-01-12 12:20</t>
  </si>
  <si>
    <t>U918</t>
  </si>
  <si>
    <t>S1207</t>
  </si>
  <si>
    <t>2024-01-03 14:08</t>
  </si>
  <si>
    <t>U751</t>
  </si>
  <si>
    <t>2024-02-03 18:27</t>
  </si>
  <si>
    <t>U842</t>
  </si>
  <si>
    <t>S7688</t>
  </si>
  <si>
    <t>2024-02-03 01:35</t>
  </si>
  <si>
    <t>P992</t>
  </si>
  <si>
    <t>U438</t>
  </si>
  <si>
    <t>S4154</t>
  </si>
  <si>
    <t>2024-02-02 11:32</t>
  </si>
  <si>
    <t>P588</t>
  </si>
  <si>
    <t>U921</t>
  </si>
  <si>
    <t>S1268</t>
  </si>
  <si>
    <t>2024-01-12 15:49</t>
  </si>
  <si>
    <t>P769</t>
  </si>
  <si>
    <t>U815</t>
  </si>
  <si>
    <t>S2322</t>
  </si>
  <si>
    <t>2024-01-28 13:35</t>
  </si>
  <si>
    <t>U219</t>
  </si>
  <si>
    <t>S4530</t>
  </si>
  <si>
    <t>2024-01-02 03:38</t>
  </si>
  <si>
    <t>U292</t>
  </si>
  <si>
    <t>S8337</t>
  </si>
  <si>
    <t>2024-01-29 11:00</t>
  </si>
  <si>
    <t>P502</t>
  </si>
  <si>
    <t>S4452</t>
  </si>
  <si>
    <t>2024-02-02 19:50</t>
  </si>
  <si>
    <t>P380</t>
  </si>
  <si>
    <t>S3393</t>
  </si>
  <si>
    <t>2024-01-24 20:59</t>
  </si>
  <si>
    <t>S5879</t>
  </si>
  <si>
    <t>2024-02-01 16:12</t>
  </si>
  <si>
    <t>U937</t>
  </si>
  <si>
    <t>S1358</t>
  </si>
  <si>
    <t>2024-01-18 07:21</t>
  </si>
  <si>
    <t>U433</t>
  </si>
  <si>
    <t>S8563</t>
  </si>
  <si>
    <t>2024-01-17 15:54</t>
  </si>
  <si>
    <t>P813</t>
  </si>
  <si>
    <t>S9140</t>
  </si>
  <si>
    <t>2024-01-23 16:10</t>
  </si>
  <si>
    <t>P972</t>
  </si>
  <si>
    <t>S2614</t>
  </si>
  <si>
    <t>2024-01-27 17:52</t>
  </si>
  <si>
    <t>U231</t>
  </si>
  <si>
    <t>S9958</t>
  </si>
  <si>
    <t>2024-01-15 13:49</t>
  </si>
  <si>
    <t>S2687</t>
  </si>
  <si>
    <t>2024-01-06 00:02</t>
  </si>
  <si>
    <t>P924</t>
  </si>
  <si>
    <t>U185</t>
  </si>
  <si>
    <t>2024-01-07 18:21</t>
  </si>
  <si>
    <t>P512</t>
  </si>
  <si>
    <t>S6314</t>
  </si>
  <si>
    <t>2024-01-20 23:56</t>
  </si>
  <si>
    <t>U462</t>
  </si>
  <si>
    <t>S4193</t>
  </si>
  <si>
    <t>P122</t>
  </si>
  <si>
    <t>U561</t>
  </si>
  <si>
    <t>S5230</t>
  </si>
  <si>
    <t>2024-01-02 22:51</t>
  </si>
  <si>
    <t>U795</t>
  </si>
  <si>
    <t>S5536</t>
  </si>
  <si>
    <t>2024-01-25 16:35</t>
  </si>
  <si>
    <t>S8114</t>
  </si>
  <si>
    <t>2024-01-30 12:42</t>
  </si>
  <si>
    <t>P739</t>
  </si>
  <si>
    <t>S8957</t>
  </si>
  <si>
    <t>2024-01-16 11:11</t>
  </si>
  <si>
    <t>U932</t>
  </si>
  <si>
    <t>S8877</t>
  </si>
  <si>
    <t>2024-01-02 04:19</t>
  </si>
  <si>
    <t>U213</t>
  </si>
  <si>
    <t>S2372</t>
  </si>
  <si>
    <t>2024-01-07 12:36</t>
  </si>
  <si>
    <t>U942</t>
  </si>
  <si>
    <t>S7400</t>
  </si>
  <si>
    <t>2024-01-02 15:49</t>
  </si>
  <si>
    <t>P129</t>
  </si>
  <si>
    <t>U767</t>
  </si>
  <si>
    <t>S2707</t>
  </si>
  <si>
    <t>2024-01-12 00:06</t>
  </si>
  <si>
    <t>U645</t>
  </si>
  <si>
    <t>S3497</t>
  </si>
  <si>
    <t>2024-01-31 17:00</t>
  </si>
  <si>
    <t>P800</t>
  </si>
  <si>
    <t>S4256</t>
  </si>
  <si>
    <t>2024-02-02 06:27</t>
  </si>
  <si>
    <t>P731</t>
  </si>
  <si>
    <t>U372</t>
  </si>
  <si>
    <t>S5691</t>
  </si>
  <si>
    <t>2024-01-06 01:49</t>
  </si>
  <si>
    <t>S1503</t>
  </si>
  <si>
    <t>2024-01-02 03:01</t>
  </si>
  <si>
    <t>P774</t>
  </si>
  <si>
    <t>S8523</t>
  </si>
  <si>
    <t>2024-01-26 04:14</t>
  </si>
  <si>
    <t>U592</t>
  </si>
  <si>
    <t>S8737</t>
  </si>
  <si>
    <t>2024-02-03 07:20</t>
  </si>
  <si>
    <t>P998</t>
  </si>
  <si>
    <t>S8151</t>
  </si>
  <si>
    <t>2024-01-18 14:00</t>
  </si>
  <si>
    <t>P188</t>
  </si>
  <si>
    <t>S6348</t>
  </si>
  <si>
    <t>2024-01-03 16:07</t>
  </si>
  <si>
    <t>S1185</t>
  </si>
  <si>
    <t>2024-01-07 12:31</t>
  </si>
  <si>
    <t>U503</t>
  </si>
  <si>
    <t>S9313</t>
  </si>
  <si>
    <t>2024-01-31 10:15</t>
  </si>
  <si>
    <t>P578</t>
  </si>
  <si>
    <t>U825</t>
  </si>
  <si>
    <t>S1014</t>
  </si>
  <si>
    <t>2024-02-01 13:46</t>
  </si>
  <si>
    <t>P436</t>
  </si>
  <si>
    <t>U489</t>
  </si>
  <si>
    <t>S6828</t>
  </si>
  <si>
    <t>2024-01-03 11:56</t>
  </si>
  <si>
    <t>S5732</t>
  </si>
  <si>
    <t>2024-01-01 02:36</t>
  </si>
  <si>
    <t>P944</t>
  </si>
  <si>
    <t>S2963</t>
  </si>
  <si>
    <t>2024-01-11 01:18</t>
  </si>
  <si>
    <t>P969</t>
  </si>
  <si>
    <t>S5587</t>
  </si>
  <si>
    <t>2024-01-17 20:19</t>
  </si>
  <si>
    <t>S8277</t>
  </si>
  <si>
    <t>2024-01-12 20:08</t>
  </si>
  <si>
    <t>P378</t>
  </si>
  <si>
    <t>U518</t>
  </si>
  <si>
    <t>S3156</t>
  </si>
  <si>
    <t>2024-01-17 02:14</t>
  </si>
  <si>
    <t>S2973</t>
  </si>
  <si>
    <t>2024-01-04 21:42</t>
  </si>
  <si>
    <t>P900</t>
  </si>
  <si>
    <t>U270</t>
  </si>
  <si>
    <t>S9251</t>
  </si>
  <si>
    <t>2024-01-31 16:48</t>
  </si>
  <si>
    <t>U526</t>
  </si>
  <si>
    <t>S9286</t>
  </si>
  <si>
    <t>2024-01-09 21:25</t>
  </si>
  <si>
    <t>S5712</t>
  </si>
  <si>
    <t>2024-01-02 06:10</t>
  </si>
  <si>
    <t>S1645</t>
  </si>
  <si>
    <t>2024-01-29 12:43</t>
  </si>
  <si>
    <t>P686</t>
  </si>
  <si>
    <t>S7515</t>
  </si>
  <si>
    <t>2024-01-15 00:30</t>
  </si>
  <si>
    <t>P909</t>
  </si>
  <si>
    <t>S8308</t>
  </si>
  <si>
    <t>2024-01-27 06:57</t>
  </si>
  <si>
    <t>P733</t>
  </si>
  <si>
    <t>U726</t>
  </si>
  <si>
    <t>S7203</t>
  </si>
  <si>
    <t>2024-01-27 10:17</t>
  </si>
  <si>
    <t>S6609</t>
  </si>
  <si>
    <t>2024-01-31 16:41</t>
  </si>
  <si>
    <t>S1371</t>
  </si>
  <si>
    <t>2024-01-24 10:12</t>
  </si>
  <si>
    <t>P906</t>
  </si>
  <si>
    <t>U850</t>
  </si>
  <si>
    <t>S2149</t>
  </si>
  <si>
    <t>2024-01-13 20:55</t>
  </si>
  <si>
    <t>P541</t>
  </si>
  <si>
    <t>U463</t>
  </si>
  <si>
    <t>2024-01-22 15:49</t>
  </si>
  <si>
    <t>P907</t>
  </si>
  <si>
    <t>S9716</t>
  </si>
  <si>
    <t>2024-01-14 04:06</t>
  </si>
  <si>
    <t>U165</t>
  </si>
  <si>
    <t>S8266</t>
  </si>
  <si>
    <t>2024-01-18 15:36</t>
  </si>
  <si>
    <t>P994</t>
  </si>
  <si>
    <t>U858</t>
  </si>
  <si>
    <t>S2384</t>
  </si>
  <si>
    <t>2024-01-22 23:48</t>
  </si>
  <si>
    <t>P859</t>
  </si>
  <si>
    <t>U397</t>
  </si>
  <si>
    <t>S4850</t>
  </si>
  <si>
    <t>2024-02-03 14:25</t>
  </si>
  <si>
    <t>P671</t>
  </si>
  <si>
    <t>S1133</t>
  </si>
  <si>
    <t>2024-01-27 21:29</t>
  </si>
  <si>
    <t>P312</t>
  </si>
  <si>
    <t>U662</t>
  </si>
  <si>
    <t>2024-01-06 08:58</t>
  </si>
  <si>
    <t>U946</t>
  </si>
  <si>
    <t>S6830</t>
  </si>
  <si>
    <t>U928</t>
  </si>
  <si>
    <t>S3327</t>
  </si>
  <si>
    <t>2024-01-11 12:06</t>
  </si>
  <si>
    <t>P599</t>
  </si>
  <si>
    <t>S5914</t>
  </si>
  <si>
    <t>2024-02-04 15:27</t>
  </si>
  <si>
    <t>P118</t>
  </si>
  <si>
    <t>U203</t>
  </si>
  <si>
    <t>S1069</t>
  </si>
  <si>
    <t>2024-01-08 16:18</t>
  </si>
  <si>
    <t>S4440</t>
  </si>
  <si>
    <t>2024-01-30 11:26</t>
  </si>
  <si>
    <t>U229</t>
  </si>
  <si>
    <t>S2317</t>
  </si>
  <si>
    <t>2024-01-04 04:51</t>
  </si>
  <si>
    <t>U517</t>
  </si>
  <si>
    <t>S9626</t>
  </si>
  <si>
    <t>2024-01-10 10:07</t>
  </si>
  <si>
    <t>U896</t>
  </si>
  <si>
    <t>S6259</t>
  </si>
  <si>
    <t>2024-01-09 15:38</t>
  </si>
  <si>
    <t>P973</t>
  </si>
  <si>
    <t>U811</t>
  </si>
  <si>
    <t>S8118</t>
  </si>
  <si>
    <t>2024-02-04 15:06</t>
  </si>
  <si>
    <t>S5345</t>
  </si>
  <si>
    <t>2024-01-19 13:06</t>
  </si>
  <si>
    <t>2024-01-16 03:39</t>
  </si>
  <si>
    <t>P304</t>
  </si>
  <si>
    <t>U542</t>
  </si>
  <si>
    <t>S4492</t>
  </si>
  <si>
    <t>2024-01-15 04:20</t>
  </si>
  <si>
    <t>U606</t>
  </si>
  <si>
    <t>S5080</t>
  </si>
  <si>
    <t>P266</t>
  </si>
  <si>
    <t>S2769</t>
  </si>
  <si>
    <t>2024-01-24 14:59</t>
  </si>
  <si>
    <t>S6427</t>
  </si>
  <si>
    <t>2024-01-01 06:15</t>
  </si>
  <si>
    <t>U746</t>
  </si>
  <si>
    <t>S7182</t>
  </si>
  <si>
    <t>2024-01-12 15:31</t>
  </si>
  <si>
    <t>P659</t>
  </si>
  <si>
    <t>S5599</t>
  </si>
  <si>
    <t>2024-01-05 11:48</t>
  </si>
  <si>
    <t>P821</t>
  </si>
  <si>
    <t>U359</t>
  </si>
  <si>
    <t>S8089</t>
  </si>
  <si>
    <t>2024-01-19 19:52</t>
  </si>
  <si>
    <t>P120</t>
  </si>
  <si>
    <t>U233</t>
  </si>
  <si>
    <t>S3524</t>
  </si>
  <si>
    <t>2024-01-21 17:27</t>
  </si>
  <si>
    <t>P114</t>
  </si>
  <si>
    <t>2024-01-26 14:11</t>
  </si>
  <si>
    <t>U704</t>
  </si>
  <si>
    <t>S7067</t>
  </si>
  <si>
    <t>2024-01-01 21:09</t>
  </si>
  <si>
    <t>P553</t>
  </si>
  <si>
    <t>S7225</t>
  </si>
  <si>
    <t>2024-01-31 15:13</t>
  </si>
  <si>
    <t>P896</t>
  </si>
  <si>
    <t>U199</t>
  </si>
  <si>
    <t>S8613</t>
  </si>
  <si>
    <t>2024-01-11 16:37</t>
  </si>
  <si>
    <t>P425</t>
  </si>
  <si>
    <t>S5983</t>
  </si>
  <si>
    <t>2024-01-30 06:53</t>
  </si>
  <si>
    <t>U222</t>
  </si>
  <si>
    <t>S3241</t>
  </si>
  <si>
    <t>2024-01-20 13:00</t>
  </si>
  <si>
    <t>P732</t>
  </si>
  <si>
    <t>S9557</t>
  </si>
  <si>
    <t>2024-01-20 02:33</t>
  </si>
  <si>
    <t>P960</t>
  </si>
  <si>
    <t>U545</t>
  </si>
  <si>
    <t>S9954</t>
  </si>
  <si>
    <t>2024-01-30 13:50</t>
  </si>
  <si>
    <t>U484</t>
  </si>
  <si>
    <t>S6598</t>
  </si>
  <si>
    <t>2024-01-15 06:50</t>
  </si>
  <si>
    <t>U871</t>
  </si>
  <si>
    <t>S8320</t>
  </si>
  <si>
    <t>2024-01-26 20:14</t>
  </si>
  <si>
    <t>U479</t>
  </si>
  <si>
    <t>S4028</t>
  </si>
  <si>
    <t>2024-02-04 12:11</t>
  </si>
  <si>
    <t>P194</t>
  </si>
  <si>
    <t>S5392</t>
  </si>
  <si>
    <t>2024-01-09 09:12</t>
  </si>
  <si>
    <t>S2378</t>
  </si>
  <si>
    <t>2024-01-26 01:39</t>
  </si>
  <si>
    <t>P610</t>
  </si>
  <si>
    <t>S2185</t>
  </si>
  <si>
    <t>2024-01-24 17:32</t>
  </si>
  <si>
    <t>P294</t>
  </si>
  <si>
    <t>U884</t>
  </si>
  <si>
    <t>S5981</t>
  </si>
  <si>
    <t>2024-01-10 07:11</t>
  </si>
  <si>
    <t>P649</t>
  </si>
  <si>
    <t>S5354</t>
  </si>
  <si>
    <t>2024-01-21 15:26</t>
  </si>
  <si>
    <t>S1956</t>
  </si>
  <si>
    <t>2024-01-11 11:07</t>
  </si>
  <si>
    <t>U771</t>
  </si>
  <si>
    <t>S5401</t>
  </si>
  <si>
    <t>2024-02-01 20:23</t>
  </si>
  <si>
    <t>P915</t>
  </si>
  <si>
    <t>2024-01-31 06:37</t>
  </si>
  <si>
    <t>P943</t>
  </si>
  <si>
    <t>U881</t>
  </si>
  <si>
    <t>S3876</t>
  </si>
  <si>
    <t>2024-01-04 03:58</t>
  </si>
  <si>
    <t>U208</t>
  </si>
  <si>
    <t>S4436</t>
  </si>
  <si>
    <t>2024-01-26 22:57</t>
  </si>
  <si>
    <t>P597</t>
  </si>
  <si>
    <t>S8764</t>
  </si>
  <si>
    <t>2024-01-14 17:44</t>
  </si>
  <si>
    <t>U566</t>
  </si>
  <si>
    <t>S6249</t>
  </si>
  <si>
    <t>2024-01-30 19:26</t>
  </si>
  <si>
    <t>U678</t>
  </si>
  <si>
    <t>S2703</t>
  </si>
  <si>
    <t>2024-02-01 20:54</t>
  </si>
  <si>
    <t>P126</t>
  </si>
  <si>
    <t>U586</t>
  </si>
  <si>
    <t>S3602</t>
  </si>
  <si>
    <t>2024-01-18 04:11</t>
  </si>
  <si>
    <t>S2820</t>
  </si>
  <si>
    <t>2024-01-25 22:07</t>
  </si>
  <si>
    <t>U819</t>
  </si>
  <si>
    <t>S9210</t>
  </si>
  <si>
    <t>2024-01-14 03:38</t>
  </si>
  <si>
    <t>P195</t>
  </si>
  <si>
    <t>U514</t>
  </si>
  <si>
    <t>S3793</t>
  </si>
  <si>
    <t>2024-01-14 15:25</t>
  </si>
  <si>
    <t>P908</t>
  </si>
  <si>
    <t>2024-02-02 00:20</t>
  </si>
  <si>
    <t>P358</t>
  </si>
  <si>
    <t>U802</t>
  </si>
  <si>
    <t>S7588</t>
  </si>
  <si>
    <t>2024-01-03 07:20</t>
  </si>
  <si>
    <t>P935</t>
  </si>
  <si>
    <t>U829</t>
  </si>
  <si>
    <t>S4772</t>
  </si>
  <si>
    <t>2024-01-11 01:58</t>
  </si>
  <si>
    <t>S6725</t>
  </si>
  <si>
    <t>2024-01-28 15:22</t>
  </si>
  <si>
    <t>U919</t>
  </si>
  <si>
    <t>S8561</t>
  </si>
  <si>
    <t>2024-01-02 04:31</t>
  </si>
  <si>
    <t>P620</t>
  </si>
  <si>
    <t>U431</t>
  </si>
  <si>
    <t>S4020</t>
  </si>
  <si>
    <t>2024-01-14 19:55</t>
  </si>
  <si>
    <t>P257</t>
  </si>
  <si>
    <t>S7925</t>
  </si>
  <si>
    <t>2024-01-16 00:51</t>
  </si>
  <si>
    <t>U987</t>
  </si>
  <si>
    <t>S3943</t>
  </si>
  <si>
    <t>2024-01-10 21:44</t>
  </si>
  <si>
    <t>S2406</t>
  </si>
  <si>
    <t>2024-01-04 23:18</t>
  </si>
  <si>
    <t>S9500</t>
  </si>
  <si>
    <t>2024-01-06 06:16</t>
  </si>
  <si>
    <t>U873</t>
  </si>
  <si>
    <t>S7929</t>
  </si>
  <si>
    <t>2024-01-02 02:34</t>
  </si>
  <si>
    <t>S3836</t>
  </si>
  <si>
    <t>2024-01-11 14:08</t>
  </si>
  <si>
    <t>U596</t>
  </si>
  <si>
    <t>2024-01-25 13:53</t>
  </si>
  <si>
    <t>P424</t>
  </si>
  <si>
    <t>U317</t>
  </si>
  <si>
    <t>S3725</t>
  </si>
  <si>
    <t>2024-01-03 11:27</t>
  </si>
  <si>
    <t>P399</t>
  </si>
  <si>
    <t>U350</t>
  </si>
  <si>
    <t>S5798</t>
  </si>
  <si>
    <t>2024-01-29 23:48</t>
  </si>
  <si>
    <t>S2302</t>
  </si>
  <si>
    <t>2024-01-08 17:01</t>
  </si>
  <si>
    <t>S9539</t>
  </si>
  <si>
    <t>2024-01-14 03:54</t>
  </si>
  <si>
    <t>P372</t>
  </si>
  <si>
    <t>S5215</t>
  </si>
  <si>
    <t>2024-01-05 10:39</t>
  </si>
  <si>
    <t>U807</t>
  </si>
  <si>
    <t>S7977</t>
  </si>
  <si>
    <t>2024-02-02 19:41</t>
  </si>
  <si>
    <t>U554</t>
  </si>
  <si>
    <t>2024-01-28 00:11</t>
  </si>
  <si>
    <t>P608</t>
  </si>
  <si>
    <t>S4419</t>
  </si>
  <si>
    <t>2024-01-05 01:51</t>
  </si>
  <si>
    <t>P995</t>
  </si>
  <si>
    <t>U477</t>
  </si>
  <si>
    <t>S9525</t>
  </si>
  <si>
    <t>2024-01-21 07:47</t>
  </si>
  <si>
    <t>U725</t>
  </si>
  <si>
    <t>S5937</t>
  </si>
  <si>
    <t>2024-01-18 06:10</t>
  </si>
  <si>
    <t>S9405</t>
  </si>
  <si>
    <t>2024-01-12 06:34</t>
  </si>
  <si>
    <t>S5608</t>
  </si>
  <si>
    <t>2024-01-24 11:09</t>
  </si>
  <si>
    <t>P635</t>
  </si>
  <si>
    <t>U272</t>
  </si>
  <si>
    <t>S9992</t>
  </si>
  <si>
    <t>2024-01-01 09:46</t>
  </si>
  <si>
    <t>S8301</t>
  </si>
  <si>
    <t>2024-01-21 01:00</t>
  </si>
  <si>
    <t>P384</t>
  </si>
  <si>
    <t>S3827</t>
  </si>
  <si>
    <t>2024-02-01 19:41</t>
  </si>
  <si>
    <t>P229</t>
  </si>
  <si>
    <t>U281</t>
  </si>
  <si>
    <t>S4562</t>
  </si>
  <si>
    <t>2024-01-08 12:54</t>
  </si>
  <si>
    <t>S8153</t>
  </si>
  <si>
    <t>2024-01-15 15:32</t>
  </si>
  <si>
    <t>P323</t>
  </si>
  <si>
    <t>U151</t>
  </si>
  <si>
    <t>S6081</t>
  </si>
  <si>
    <t>2024-01-16 20:16</t>
  </si>
  <si>
    <t>P928</t>
  </si>
  <si>
    <t>U979</t>
  </si>
  <si>
    <t>S3289</t>
  </si>
  <si>
    <t>2024-02-03 01:41</t>
  </si>
  <si>
    <t>S9897</t>
  </si>
  <si>
    <t>2024-01-28 22:32</t>
  </si>
  <si>
    <t>S5453</t>
  </si>
  <si>
    <t>2024-01-28 10:49</t>
  </si>
  <si>
    <t>S1606</t>
  </si>
  <si>
    <t>2024-02-01 00:03</t>
  </si>
  <si>
    <t>S5528</t>
  </si>
  <si>
    <t>2024-01-06 19:51</t>
  </si>
  <si>
    <t>U602</t>
  </si>
  <si>
    <t>S2558</t>
  </si>
  <si>
    <t>2024-01-12 10:17</t>
  </si>
  <si>
    <t>P833</t>
  </si>
  <si>
    <t>S2747</t>
  </si>
  <si>
    <t>2024-01-24 01:43</t>
  </si>
  <si>
    <t>P555</t>
  </si>
  <si>
    <t>S1893</t>
  </si>
  <si>
    <t>2024-01-01 17:38</t>
  </si>
  <si>
    <t>P533</t>
  </si>
  <si>
    <t>S8665</t>
  </si>
  <si>
    <t>2024-01-09 04:18</t>
  </si>
  <si>
    <t>S1685</t>
  </si>
  <si>
    <t>2024-01-07 14:14</t>
  </si>
  <si>
    <t>S6323</t>
  </si>
  <si>
    <t>2024-01-31 18:48</t>
  </si>
  <si>
    <t>P570</t>
  </si>
  <si>
    <t>U173</t>
  </si>
  <si>
    <t>S4873</t>
  </si>
  <si>
    <t>2024-01-09 19:31</t>
  </si>
  <si>
    <t>P941</t>
  </si>
  <si>
    <t>S6505</t>
  </si>
  <si>
    <t>2024-01-26 03:25</t>
  </si>
  <si>
    <t>P134</t>
  </si>
  <si>
    <t>U413</t>
  </si>
  <si>
    <t>S3641</t>
  </si>
  <si>
    <t>2024-01-05 04:59</t>
  </si>
  <si>
    <t>P842</t>
  </si>
  <si>
    <t>U175</t>
  </si>
  <si>
    <t>S8073</t>
  </si>
  <si>
    <t>2024-01-02 00:44</t>
  </si>
  <si>
    <t>S3183</t>
  </si>
  <si>
    <t>2024-02-03 20:47</t>
  </si>
  <si>
    <t>U391</t>
  </si>
  <si>
    <t>S8773</t>
  </si>
  <si>
    <t>2024-01-15 12:46</t>
  </si>
  <si>
    <t>U201</t>
  </si>
  <si>
    <t>S2927</t>
  </si>
  <si>
    <t>2024-01-19 11:09</t>
  </si>
  <si>
    <t>S3011</t>
  </si>
  <si>
    <t>2024-01-30 22:58</t>
  </si>
  <si>
    <t>P429</t>
  </si>
  <si>
    <t>S3521</t>
  </si>
  <si>
    <t>2024-01-30 03:32</t>
  </si>
  <si>
    <t>P267</t>
  </si>
  <si>
    <t>S7750</t>
  </si>
  <si>
    <t>S2239</t>
  </si>
  <si>
    <t>2024-01-27 22:59</t>
  </si>
  <si>
    <t>U630</t>
  </si>
  <si>
    <t>S8022</t>
  </si>
  <si>
    <t>2024-02-04 10:29</t>
  </si>
  <si>
    <t>P782</t>
  </si>
  <si>
    <t>S6614</t>
  </si>
  <si>
    <t>2024-02-03 07:23</t>
  </si>
  <si>
    <t>P506</t>
  </si>
  <si>
    <t>U872</t>
  </si>
  <si>
    <t>S2426</t>
  </si>
  <si>
    <t>2024-01-08 22:19</t>
  </si>
  <si>
    <t>U584</t>
  </si>
  <si>
    <t>2024-01-28 14:02</t>
  </si>
  <si>
    <t>S7790</t>
  </si>
  <si>
    <t>2024-01-06 21:00</t>
  </si>
  <si>
    <t>P824</t>
  </si>
  <si>
    <t>U665</t>
  </si>
  <si>
    <t>S8505</t>
  </si>
  <si>
    <t>2024-02-02 12:34</t>
  </si>
  <si>
    <t>2024-01-30 12:06</t>
  </si>
  <si>
    <t>P763</t>
  </si>
  <si>
    <t>S8036</t>
  </si>
  <si>
    <t>2024-01-03 11:21</t>
  </si>
  <si>
    <t>S8743</t>
  </si>
  <si>
    <t>2024-01-04 04:13</t>
  </si>
  <si>
    <t>S5188</t>
  </si>
  <si>
    <t>2024-01-07 20:39</t>
  </si>
  <si>
    <t>P282</t>
  </si>
  <si>
    <t>S5424</t>
  </si>
  <si>
    <t>2024-01-12 07:55</t>
  </si>
  <si>
    <t>P787</t>
  </si>
  <si>
    <t>S6799</t>
  </si>
  <si>
    <t>2024-01-03 12:01</t>
  </si>
  <si>
    <t>P705</t>
  </si>
  <si>
    <t>U100</t>
  </si>
  <si>
    <t>S1477</t>
  </si>
  <si>
    <t>2024-01-06 04:57</t>
  </si>
  <si>
    <t>S6419</t>
  </si>
  <si>
    <t>2024-01-27 07:36</t>
  </si>
  <si>
    <t>S1733</t>
  </si>
  <si>
    <t>2024-01-29 00:50</t>
  </si>
  <si>
    <t>P942</t>
  </si>
  <si>
    <t>U985</t>
  </si>
  <si>
    <t>S2224</t>
  </si>
  <si>
    <t>2024-01-05 04:03</t>
  </si>
  <si>
    <t>U238</t>
  </si>
  <si>
    <t>S1470</t>
  </si>
  <si>
    <t>2024-02-03 04:30</t>
  </si>
  <si>
    <t>P393</t>
  </si>
  <si>
    <t>U916</t>
  </si>
  <si>
    <t>S3018</t>
  </si>
  <si>
    <t>2024-01-04 13:11</t>
  </si>
  <si>
    <t>S1230</t>
  </si>
  <si>
    <t>2024-01-27 18:37</t>
  </si>
  <si>
    <t>P591</t>
  </si>
  <si>
    <t>U852</t>
  </si>
  <si>
    <t>S8179</t>
  </si>
  <si>
    <t>2024-01-26 23:22</t>
  </si>
  <si>
    <t>P301</t>
  </si>
  <si>
    <t>S7804</t>
  </si>
  <si>
    <t>2024-01-02 15:08</t>
  </si>
  <si>
    <t>P260</t>
  </si>
  <si>
    <t>S5225</t>
  </si>
  <si>
    <t>2024-01-02 15:42</t>
  </si>
  <si>
    <t>S3527</t>
  </si>
  <si>
    <t>2024-01-25 08:53</t>
  </si>
  <si>
    <t>P255</t>
  </si>
  <si>
    <t>U279</t>
  </si>
  <si>
    <t>S3939</t>
  </si>
  <si>
    <t>2024-01-20 08:53</t>
  </si>
  <si>
    <t>S8340</t>
  </si>
  <si>
    <t>2024-01-30 22:08</t>
  </si>
  <si>
    <t>S1411</t>
  </si>
  <si>
    <t>2024-01-16 10:30</t>
  </si>
  <si>
    <t>S4169</t>
  </si>
  <si>
    <t>2024-01-19 15:03</t>
  </si>
  <si>
    <t>P919</t>
  </si>
  <si>
    <t>S2554</t>
  </si>
  <si>
    <t>2024-01-15 00:27</t>
  </si>
  <si>
    <t>P128</t>
  </si>
  <si>
    <t>U409</t>
  </si>
  <si>
    <t>S9213</t>
  </si>
  <si>
    <t>2024-01-31 09:28</t>
  </si>
  <si>
    <t>P200</t>
  </si>
  <si>
    <t>S6694</t>
  </si>
  <si>
    <t>2024-01-21 12:16</t>
  </si>
  <si>
    <t>U640</t>
  </si>
  <si>
    <t>S3256</t>
  </si>
  <si>
    <t>2024-01-08 08:28</t>
  </si>
  <si>
    <t>S8456</t>
  </si>
  <si>
    <t>2024-01-30 08:44</t>
  </si>
  <si>
    <t>U854</t>
  </si>
  <si>
    <t>2024-01-08 08:06</t>
  </si>
  <si>
    <t>U812</t>
  </si>
  <si>
    <t>S5431</t>
  </si>
  <si>
    <t>2024-01-02 13:09</t>
  </si>
  <si>
    <t>U216</t>
  </si>
  <si>
    <t>S9569</t>
  </si>
  <si>
    <t>2024-01-05 02:24</t>
  </si>
  <si>
    <t>U883</t>
  </si>
  <si>
    <t>S4913</t>
  </si>
  <si>
    <t>2024-01-21 18:31</t>
  </si>
  <si>
    <t>S3745</t>
  </si>
  <si>
    <t>2024-01-22 19:14</t>
  </si>
  <si>
    <t>P692</t>
  </si>
  <si>
    <t>U851</t>
  </si>
  <si>
    <t>S4770</t>
  </si>
  <si>
    <t>2024-01-28 21:26</t>
  </si>
  <si>
    <t>S7262</t>
  </si>
  <si>
    <t>2024-01-22 12:46</t>
  </si>
  <si>
    <t>S8742</t>
  </si>
  <si>
    <t>2024-01-30 19:38</t>
  </si>
  <si>
    <t>U124</t>
  </si>
  <si>
    <t>S9866</t>
  </si>
  <si>
    <t>2024-02-04 09:26</t>
  </si>
  <si>
    <t>S5527</t>
  </si>
  <si>
    <t>2024-01-08 08:20</t>
  </si>
  <si>
    <t>P115</t>
  </si>
  <si>
    <t>U266</t>
  </si>
  <si>
    <t>S1954</t>
  </si>
  <si>
    <t>2024-01-16 17:07</t>
  </si>
  <si>
    <t>P155</t>
  </si>
  <si>
    <t>U486</t>
  </si>
  <si>
    <t>S4840</t>
  </si>
  <si>
    <t>2024-01-16 00:01</t>
  </si>
  <si>
    <t>S2934</t>
  </si>
  <si>
    <t>2024-01-16 15:09</t>
  </si>
  <si>
    <t>S2073</t>
  </si>
  <si>
    <t>2024-01-27 22:28</t>
  </si>
  <si>
    <t>U816</t>
  </si>
  <si>
    <t>S6098</t>
  </si>
  <si>
    <t>2024-01-05 10:45</t>
  </si>
  <si>
    <t>S8861</t>
  </si>
  <si>
    <t>2024-01-01 17:10</t>
  </si>
  <si>
    <t>P897</t>
  </si>
  <si>
    <t>S1229</t>
  </si>
  <si>
    <t>2024-01-25 07:22</t>
  </si>
  <si>
    <t>P699</t>
  </si>
  <si>
    <t>U132</t>
  </si>
  <si>
    <t>S8778</t>
  </si>
  <si>
    <t>2024-01-17 13:06</t>
  </si>
  <si>
    <t>P999</t>
  </si>
  <si>
    <t>S3927</t>
  </si>
  <si>
    <t>2024-02-01 02:33</t>
  </si>
  <si>
    <t>S1063</t>
  </si>
  <si>
    <t>2024-01-15 15:01</t>
  </si>
  <si>
    <t>P751</t>
  </si>
  <si>
    <t>S4668</t>
  </si>
  <si>
    <t>2024-01-16 03:36</t>
  </si>
  <si>
    <t>P159</t>
  </si>
  <si>
    <t>U637</t>
  </si>
  <si>
    <t>S6423</t>
  </si>
  <si>
    <t>2024-01-09 22:51</t>
  </si>
  <si>
    <t>S5827</t>
  </si>
  <si>
    <t>2024-01-11 04:20</t>
  </si>
  <si>
    <t>S6180</t>
  </si>
  <si>
    <t>2024-01-24 11:36</t>
  </si>
  <si>
    <t>P957</t>
  </si>
  <si>
    <t>S8016</t>
  </si>
  <si>
    <t>2024-01-14 22:39</t>
  </si>
  <si>
    <t>P852</t>
  </si>
  <si>
    <t>S7130</t>
  </si>
  <si>
    <t>2024-01-27 10:01</t>
  </si>
  <si>
    <t>P505</t>
  </si>
  <si>
    <t>S5197</t>
  </si>
  <si>
    <t>2024-02-03 11:14</t>
  </si>
  <si>
    <t>U544</t>
  </si>
  <si>
    <t>S4747</t>
  </si>
  <si>
    <t>2024-01-05 13:58</t>
  </si>
  <si>
    <t>U863</t>
  </si>
  <si>
    <t>S7893</t>
  </si>
  <si>
    <t>2024-01-05 03:30</t>
  </si>
  <si>
    <t>S9959</t>
  </si>
  <si>
    <t>2024-01-13 18:12</t>
  </si>
  <si>
    <t>P371</t>
  </si>
  <si>
    <t>S6841</t>
  </si>
  <si>
    <t>2024-01-18 11:15</t>
  </si>
  <si>
    <t>U583</t>
  </si>
  <si>
    <t>S3789</t>
  </si>
  <si>
    <t>2024-01-03 14:30</t>
  </si>
  <si>
    <t>S4895</t>
  </si>
  <si>
    <t>2024-01-13 14:52</t>
  </si>
  <si>
    <t>U275</t>
  </si>
  <si>
    <t>S4517</t>
  </si>
  <si>
    <t>2024-01-29 02:05</t>
  </si>
  <si>
    <t>S1255</t>
  </si>
  <si>
    <t>2024-01-07 13:49</t>
  </si>
  <si>
    <t>P324</t>
  </si>
  <si>
    <t>2024-01-13 17:15</t>
  </si>
  <si>
    <t>S9721</t>
  </si>
  <si>
    <t>2024-01-06 12:59</t>
  </si>
  <si>
    <t>S2976</t>
  </si>
  <si>
    <t>2024-01-18 17:54</t>
  </si>
  <si>
    <t>P621</t>
  </si>
  <si>
    <t>U143</t>
  </si>
  <si>
    <t>S2036</t>
  </si>
  <si>
    <t>2024-01-08 05:00</t>
  </si>
  <si>
    <t>U801</t>
  </si>
  <si>
    <t>S8812</t>
  </si>
  <si>
    <t>2024-02-02 12:07</t>
  </si>
  <si>
    <t>P362</t>
  </si>
  <si>
    <t>U634</t>
  </si>
  <si>
    <t>S1828</t>
  </si>
  <si>
    <t>2024-01-08 01:15</t>
  </si>
  <si>
    <t>P315</t>
  </si>
  <si>
    <t>S4906</t>
  </si>
  <si>
    <t>2024-01-11 21:11</t>
  </si>
  <si>
    <t>U388</t>
  </si>
  <si>
    <t>S8127</t>
  </si>
  <si>
    <t>2024-01-23 18:21</t>
  </si>
  <si>
    <t>P611</t>
  </si>
  <si>
    <t>S6128</t>
  </si>
  <si>
    <t>2024-01-30 15:54</t>
  </si>
  <si>
    <t>P991</t>
  </si>
  <si>
    <t>S9617</t>
  </si>
  <si>
    <t>2024-01-08 06:48</t>
  </si>
  <si>
    <t>S2353</t>
  </si>
  <si>
    <t>2024-02-03 15:22</t>
  </si>
  <si>
    <t>U204</t>
  </si>
  <si>
    <t>S7961</t>
  </si>
  <si>
    <t>2024-02-03 02:37</t>
  </si>
  <si>
    <t>U820</t>
  </si>
  <si>
    <t>S1790</t>
  </si>
  <si>
    <t>2024-01-14 05:14</t>
  </si>
  <si>
    <t>S8886</t>
  </si>
  <si>
    <t>2024-02-02 11:54</t>
  </si>
  <si>
    <t>U360</t>
  </si>
  <si>
    <t>S8353</t>
  </si>
  <si>
    <t>2024-01-11 03:57</t>
  </si>
  <si>
    <t>S7731</t>
  </si>
  <si>
    <t>2024-01-22 12:13</t>
  </si>
  <si>
    <t>P594</t>
  </si>
  <si>
    <t>S1007</t>
  </si>
  <si>
    <t>2024-01-07 21:44</t>
  </si>
  <si>
    <t>S9691</t>
  </si>
  <si>
    <t>2024-01-14 22:32</t>
  </si>
  <si>
    <t>P901</t>
  </si>
  <si>
    <t>U430</t>
  </si>
  <si>
    <t>S4984</t>
  </si>
  <si>
    <t>2024-01-11 12:23</t>
  </si>
  <si>
    <t>P761</t>
  </si>
  <si>
    <t>U487</t>
  </si>
  <si>
    <t>S8228</t>
  </si>
  <si>
    <t>2024-01-28 13:43</t>
  </si>
  <si>
    <t>U940</t>
  </si>
  <si>
    <t>2024-01-01 23:08</t>
  </si>
  <si>
    <t>P148</t>
  </si>
  <si>
    <t>S4658</t>
  </si>
  <si>
    <t>2024-01-26 01:04</t>
  </si>
  <si>
    <t>U136</t>
  </si>
  <si>
    <t>S7085</t>
  </si>
  <si>
    <t>2024-01-28 16:49</t>
  </si>
  <si>
    <t>P577</t>
  </si>
  <si>
    <t>S6043</t>
  </si>
  <si>
    <t>2024-01-08 05:02</t>
  </si>
  <si>
    <t>S5309</t>
  </si>
  <si>
    <t>2024-01-13 18:35</t>
  </si>
  <si>
    <t>S3533</t>
  </si>
  <si>
    <t>2024-02-03 07:08</t>
  </si>
  <si>
    <t>U738</t>
  </si>
  <si>
    <t>S7008</t>
  </si>
  <si>
    <t>2024-01-24 01:08</t>
  </si>
  <si>
    <t>P171</t>
  </si>
  <si>
    <t>S3608</t>
  </si>
  <si>
    <t>2024-01-13 06:49</t>
  </si>
  <si>
    <t>P227</t>
  </si>
  <si>
    <t>U587</t>
  </si>
  <si>
    <t>2024-01-17 05:13</t>
  </si>
  <si>
    <t>U466</t>
  </si>
  <si>
    <t>S4870</t>
  </si>
  <si>
    <t>2024-01-30 21:55</t>
  </si>
  <si>
    <t>P590</t>
  </si>
  <si>
    <t>U320</t>
  </si>
  <si>
    <t>S1020</t>
  </si>
  <si>
    <t>2024-01-16 01:11</t>
  </si>
  <si>
    <t>S9772</t>
  </si>
  <si>
    <t>2024-01-15 12:38</t>
  </si>
  <si>
    <t>U796</t>
  </si>
  <si>
    <t>S6978</t>
  </si>
  <si>
    <t>2024-01-29 18:16</t>
  </si>
  <si>
    <t>U997</t>
  </si>
  <si>
    <t>S6855</t>
  </si>
  <si>
    <t>2024-01-09 04:24</t>
  </si>
  <si>
    <t>S4042</t>
  </si>
  <si>
    <t>2024-01-05 03:39</t>
  </si>
  <si>
    <t>S3132</t>
  </si>
  <si>
    <t>2024-01-11 18:04</t>
  </si>
  <si>
    <t>S6632</t>
  </si>
  <si>
    <t>2024-01-21 00:17</t>
  </si>
  <si>
    <t>P329</t>
  </si>
  <si>
    <t>S2181</t>
  </si>
  <si>
    <t>2024-01-09 16:56</t>
  </si>
  <si>
    <t>S7777</t>
  </si>
  <si>
    <t>2024-01-11 07:19</t>
  </si>
  <si>
    <t>S2972</t>
  </si>
  <si>
    <t>2024-01-24 11:50</t>
  </si>
  <si>
    <t>U525</t>
  </si>
  <si>
    <t>S5319</t>
  </si>
  <si>
    <t>2024-02-03 04:32</t>
  </si>
  <si>
    <t>P952</t>
  </si>
  <si>
    <t>S9098</t>
  </si>
  <si>
    <t>S4549</t>
  </si>
  <si>
    <t>2024-01-19 05:49</t>
  </si>
  <si>
    <t>P614</t>
  </si>
  <si>
    <t>U612</t>
  </si>
  <si>
    <t>S2880</t>
  </si>
  <si>
    <t>2024-01-27 04:27</t>
  </si>
  <si>
    <t>U476</t>
  </si>
  <si>
    <t>S9770</t>
  </si>
  <si>
    <t>2024-01-20 18:36</t>
  </si>
  <si>
    <t>U385</t>
  </si>
  <si>
    <t>S9939</t>
  </si>
  <si>
    <t>2024-01-12 16:05</t>
  </si>
  <si>
    <t>P681</t>
  </si>
  <si>
    <t>U129</t>
  </si>
  <si>
    <t>S9905</t>
  </si>
  <si>
    <t>2024-01-23 02:32</t>
  </si>
  <si>
    <t>U648</t>
  </si>
  <si>
    <t>S7219</t>
  </si>
  <si>
    <t>2024-01-06 00:33</t>
  </si>
  <si>
    <t>P567</t>
  </si>
  <si>
    <t>S1409</t>
  </si>
  <si>
    <t>2024-01-29 10:30</t>
  </si>
  <si>
    <t>U878</t>
  </si>
  <si>
    <t>S6243</t>
  </si>
  <si>
    <t>2024-01-12 02:30</t>
  </si>
  <si>
    <t>S3697</t>
  </si>
  <si>
    <t>2024-02-02 20:06</t>
  </si>
  <si>
    <t>S3959</t>
  </si>
  <si>
    <t>2024-01-16 20:11</t>
  </si>
  <si>
    <t>P402</t>
  </si>
  <si>
    <t>S1127</t>
  </si>
  <si>
    <t>2024-01-25 15:23</t>
  </si>
  <si>
    <t>P624</t>
  </si>
  <si>
    <t>S6438</t>
  </si>
  <si>
    <t>2024-01-14 02:57</t>
  </si>
  <si>
    <t>S8042</t>
  </si>
  <si>
    <t>2024-01-24 10:58</t>
  </si>
  <si>
    <t>P844</t>
  </si>
  <si>
    <t>U331</t>
  </si>
  <si>
    <t>S3041</t>
  </si>
  <si>
    <t>2024-01-16 02:02</t>
  </si>
  <si>
    <t>P965</t>
  </si>
  <si>
    <t>S3782</t>
  </si>
  <si>
    <t>2024-02-04 09:36</t>
  </si>
  <si>
    <t>P264</t>
  </si>
  <si>
    <t>U909</t>
  </si>
  <si>
    <t>S7994</t>
  </si>
  <si>
    <t>2024-01-29 11:05</t>
  </si>
  <si>
    <t>P758</t>
  </si>
  <si>
    <t>U845</t>
  </si>
  <si>
    <t>S4623</t>
  </si>
  <si>
    <t>2024-01-27 13:44</t>
  </si>
  <si>
    <t>P483</t>
  </si>
  <si>
    <t>U577</t>
  </si>
  <si>
    <t>S7500</t>
  </si>
  <si>
    <t>2024-01-21 15:10</t>
  </si>
  <si>
    <t>S7153</t>
  </si>
  <si>
    <t>2024-01-11 06:58</t>
  </si>
  <si>
    <t>U778</t>
  </si>
  <si>
    <t>S3891</t>
  </si>
  <si>
    <t>2024-01-24 09:20</t>
  </si>
  <si>
    <t>P523</t>
  </si>
  <si>
    <t>2024-01-10 08:47</t>
  </si>
  <si>
    <t>S6890</t>
  </si>
  <si>
    <t>2024-01-08 20:41</t>
  </si>
  <si>
    <t>P104</t>
  </si>
  <si>
    <t>S3639</t>
  </si>
  <si>
    <t>2024-01-02 00:00</t>
  </si>
  <si>
    <t>S9831</t>
  </si>
  <si>
    <t>2024-01-09 11:10</t>
  </si>
  <si>
    <t>P168</t>
  </si>
  <si>
    <t>S2732</t>
  </si>
  <si>
    <t>2024-01-18 23:50</t>
  </si>
  <si>
    <t>S7363</t>
  </si>
  <si>
    <t>2024-02-02 11:48</t>
  </si>
  <si>
    <t>P111</t>
  </si>
  <si>
    <t>S9931</t>
  </si>
  <si>
    <t>2024-01-31 08:55</t>
  </si>
  <si>
    <t>P471</t>
  </si>
  <si>
    <t>S4484</t>
  </si>
  <si>
    <t>2024-02-01 19:38</t>
  </si>
  <si>
    <t>S5312</t>
  </si>
  <si>
    <t>2024-01-07 04:42</t>
  </si>
  <si>
    <t>S8687</t>
  </si>
  <si>
    <t>2024-01-13 16:00</t>
  </si>
  <si>
    <t>U635</t>
  </si>
  <si>
    <t>S2809</t>
  </si>
  <si>
    <t>2024-01-03 08:49</t>
  </si>
  <si>
    <t>P851</t>
  </si>
  <si>
    <t>U745</t>
  </si>
  <si>
    <t>S2509</t>
  </si>
  <si>
    <t>2024-02-03 13:36</t>
  </si>
  <si>
    <t>P600</t>
  </si>
  <si>
    <t>S3871</t>
  </si>
  <si>
    <t>2024-01-12 19:24</t>
  </si>
  <si>
    <t>S1566</t>
  </si>
  <si>
    <t>2024-01-19 23:00</t>
  </si>
  <si>
    <t>P456</t>
  </si>
  <si>
    <t>U696</t>
  </si>
  <si>
    <t>S2083</t>
  </si>
  <si>
    <t>2024-01-19 01:43</t>
  </si>
  <si>
    <t>2024-01-16 07:21</t>
  </si>
  <si>
    <t>U846</t>
  </si>
  <si>
    <t>S2620</t>
  </si>
  <si>
    <t>2024-02-01 07:19</t>
  </si>
  <si>
    <t>P401</t>
  </si>
  <si>
    <t>U155</t>
  </si>
  <si>
    <t>S1051</t>
  </si>
  <si>
    <t>2024-02-01 00:04</t>
  </si>
  <si>
    <t>U715</t>
  </si>
  <si>
    <t>S5286</t>
  </si>
  <si>
    <t>2024-01-16 10:10</t>
  </si>
  <si>
    <t>S4805</t>
  </si>
  <si>
    <t>2024-01-21 18:17</t>
  </si>
  <si>
    <t>S1018</t>
  </si>
  <si>
    <t>2024-01-27 10:15</t>
  </si>
  <si>
    <t>P457</t>
  </si>
  <si>
    <t>U759</t>
  </si>
  <si>
    <t>S6195</t>
  </si>
  <si>
    <t>2024-01-16 00:43</t>
  </si>
  <si>
    <t>S6765</t>
  </si>
  <si>
    <t>2024-01-27 05:54</t>
  </si>
  <si>
    <t>U623</t>
  </si>
  <si>
    <t>S8120</t>
  </si>
  <si>
    <t>2024-01-28 13:12</t>
  </si>
  <si>
    <t>S8303</t>
  </si>
  <si>
    <t>2024-01-05 06:21</t>
  </si>
  <si>
    <t>S5669</t>
  </si>
  <si>
    <t>2024-01-12 18:23</t>
  </si>
  <si>
    <t>U498</t>
  </si>
  <si>
    <t>S9653</t>
  </si>
  <si>
    <t>2024-01-27 14:21</t>
  </si>
  <si>
    <t>P613</t>
  </si>
  <si>
    <t>S3656</t>
  </si>
  <si>
    <t>2024-01-27 08:24</t>
  </si>
  <si>
    <t>S9484</t>
  </si>
  <si>
    <t>2024-01-15 20:57</t>
  </si>
  <si>
    <t>U701</t>
  </si>
  <si>
    <t>S6940</t>
  </si>
  <si>
    <t>2024-01-06 00:37</t>
  </si>
  <si>
    <t>S9333</t>
  </si>
  <si>
    <t>2024-01-17 02:16</t>
  </si>
  <si>
    <t>U280</t>
  </si>
  <si>
    <t>S6125</t>
  </si>
  <si>
    <t>2024-01-09 13:59</t>
  </si>
  <si>
    <t>S5375</t>
  </si>
  <si>
    <t>2024-01-06 08:42</t>
  </si>
  <si>
    <t>P465</t>
  </si>
  <si>
    <t>S9864</t>
  </si>
  <si>
    <t>2024-01-10 00:01</t>
  </si>
  <si>
    <t>P522</t>
  </si>
  <si>
    <t>U980</t>
  </si>
  <si>
    <t>S1721</t>
  </si>
  <si>
    <t>2024-01-11 16:53</t>
  </si>
  <si>
    <t>P270</t>
  </si>
  <si>
    <t>U169</t>
  </si>
  <si>
    <t>S3935</t>
  </si>
  <si>
    <t>2024-02-01 18:02</t>
  </si>
  <si>
    <t>P662</t>
  </si>
  <si>
    <t>S6992</t>
  </si>
  <si>
    <t>2024-01-16 02:41</t>
  </si>
  <si>
    <t>S6424</t>
  </si>
  <si>
    <t>2024-01-09 21:36</t>
  </si>
  <si>
    <t>P996</t>
  </si>
  <si>
    <t>U922</t>
  </si>
  <si>
    <t>S2545</t>
  </si>
  <si>
    <t>2024-01-24 03:17</t>
  </si>
  <si>
    <t>P767</t>
  </si>
  <si>
    <t>U247</t>
  </si>
  <si>
    <t>S7158</t>
  </si>
  <si>
    <t>2024-01-16 23:53</t>
  </si>
  <si>
    <t>U673</t>
  </si>
  <si>
    <t>S9374</t>
  </si>
  <si>
    <t>2024-02-03 01:42</t>
  </si>
  <si>
    <t>U318</t>
  </si>
  <si>
    <t>S6113</t>
  </si>
  <si>
    <t>2024-01-27 02:53</t>
  </si>
  <si>
    <t>P847</t>
  </si>
  <si>
    <t>U684</t>
  </si>
  <si>
    <t>2024-01-17 08:24</t>
  </si>
  <si>
    <t>P147</t>
  </si>
  <si>
    <t>2024-02-02 17:06</t>
  </si>
  <si>
    <t>S5553</t>
  </si>
  <si>
    <t>2024-01-13 16:01</t>
  </si>
  <si>
    <t>S8659</t>
  </si>
  <si>
    <t>2024-01-07 16:59</t>
  </si>
  <si>
    <t>U559</t>
  </si>
  <si>
    <t>S1919</t>
  </si>
  <si>
    <t>2024-01-30 09:10</t>
  </si>
  <si>
    <t>S1134</t>
  </si>
  <si>
    <t>2024-01-25 01:50</t>
  </si>
  <si>
    <t>S6294</t>
  </si>
  <si>
    <t>2024-01-08 20:19</t>
  </si>
  <si>
    <t>S9436</t>
  </si>
  <si>
    <t>2024-02-02 13:14</t>
  </si>
  <si>
    <t>P398</t>
  </si>
  <si>
    <t>S7041</t>
  </si>
  <si>
    <t>2024-01-18 19:19</t>
  </si>
  <si>
    <t>P385</t>
  </si>
  <si>
    <t>S6359</t>
  </si>
  <si>
    <t>2024-01-23 10:54</t>
  </si>
  <si>
    <t>S2337</t>
  </si>
  <si>
    <t>2024-02-02 08:22</t>
  </si>
  <si>
    <t>U166</t>
  </si>
  <si>
    <t>S6036</t>
  </si>
  <si>
    <t>2024-01-28 05:04</t>
  </si>
  <si>
    <t>S8497</t>
  </si>
  <si>
    <t>2024-01-24 07:53</t>
  </si>
  <si>
    <t>S7212</t>
  </si>
  <si>
    <t>2024-01-24 21:01</t>
  </si>
  <si>
    <t>P501</t>
  </si>
  <si>
    <t>S2899</t>
  </si>
  <si>
    <t>2024-02-03 00:42</t>
  </si>
  <si>
    <t>P203</t>
  </si>
  <si>
    <t>U109</t>
  </si>
  <si>
    <t>2024-01-26 12:22</t>
  </si>
  <si>
    <t>S5470</t>
  </si>
  <si>
    <t>2024-01-06 03:05</t>
  </si>
  <si>
    <t>S8727</t>
  </si>
  <si>
    <t>2024-01-05 02:36</t>
  </si>
  <si>
    <t>S9757</t>
  </si>
  <si>
    <t>2024-01-31 17:45</t>
  </si>
  <si>
    <t>S5412</t>
  </si>
  <si>
    <t>2024-01-02 10:33</t>
  </si>
  <si>
    <t>U570</t>
  </si>
  <si>
    <t>S6526</t>
  </si>
  <si>
    <t>2024-01-24 04:09</t>
  </si>
  <si>
    <t>P392</t>
  </si>
  <si>
    <t>S1739</t>
  </si>
  <si>
    <t>2024-02-01 07:25</t>
  </si>
  <si>
    <t>S7472</t>
  </si>
  <si>
    <t>2024-01-06 06:28</t>
  </si>
  <si>
    <t>S2418</t>
  </si>
  <si>
    <t>2024-01-21 05:08</t>
  </si>
  <si>
    <t>U210</t>
  </si>
  <si>
    <t>S4551</t>
  </si>
  <si>
    <t>2024-02-01 03:39</t>
  </si>
  <si>
    <t>P517</t>
  </si>
  <si>
    <t>S4075</t>
  </si>
  <si>
    <t>2024-01-01 21:11</t>
  </si>
  <si>
    <t>U547</t>
  </si>
  <si>
    <t>S7964</t>
  </si>
  <si>
    <t>2024-01-31 17:18</t>
  </si>
  <si>
    <t>U340</t>
  </si>
  <si>
    <t>S4327</t>
  </si>
  <si>
    <t>2024-02-03 09:59</t>
  </si>
  <si>
    <t>S1701</t>
  </si>
  <si>
    <t>2024-01-07 19:59</t>
  </si>
  <si>
    <t>P394</t>
  </si>
  <si>
    <t>S1347</t>
  </si>
  <si>
    <t>2024-01-09 12:32</t>
  </si>
  <si>
    <t>P575</t>
  </si>
  <si>
    <t>U700</t>
  </si>
  <si>
    <t>S9815</t>
  </si>
  <si>
    <t>2024-01-11 05:26</t>
  </si>
  <si>
    <t>P876</t>
  </si>
  <si>
    <t>S4898</t>
  </si>
  <si>
    <t>2024-02-01 09:14</t>
  </si>
  <si>
    <t>S5974</t>
  </si>
  <si>
    <t>2024-01-27 17:50</t>
  </si>
  <si>
    <t>S6499</t>
  </si>
  <si>
    <t>2024-01-31 22:26</t>
  </si>
  <si>
    <t>U532</t>
  </si>
  <si>
    <t>S3049</t>
  </si>
  <si>
    <t>2024-01-11 06:50</t>
  </si>
  <si>
    <t>S3644</t>
  </si>
  <si>
    <t>2024-01-17 06:13</t>
  </si>
  <si>
    <t>S5717</t>
  </si>
  <si>
    <t>2024-01-09 14:12</t>
  </si>
  <si>
    <t>S5946</t>
  </si>
  <si>
    <t>2024-01-18 17:04</t>
  </si>
  <si>
    <t>P695</t>
  </si>
  <si>
    <t>U458</t>
  </si>
  <si>
    <t>2024-02-03 14:22</t>
  </si>
  <si>
    <t>P108</t>
  </si>
  <si>
    <t>S4699</t>
  </si>
  <si>
    <t>2024-01-30 06:47</t>
  </si>
  <si>
    <t>U442</t>
  </si>
  <si>
    <t>S2118</t>
  </si>
  <si>
    <t>2024-01-30 22:18</t>
  </si>
  <si>
    <t>P778</t>
  </si>
  <si>
    <t>S4081</t>
  </si>
  <si>
    <t>2024-01-14 23:37</t>
  </si>
  <si>
    <t>U182</t>
  </si>
  <si>
    <t>S7714</t>
  </si>
  <si>
    <t>2024-01-21 07:37</t>
  </si>
  <si>
    <t>P916</t>
  </si>
  <si>
    <t>S9936</t>
  </si>
  <si>
    <t>2024-01-27 23:50</t>
  </si>
  <si>
    <t>U734</t>
  </si>
  <si>
    <t>S4334</t>
  </si>
  <si>
    <t>2024-01-14 19:01</t>
  </si>
  <si>
    <t>U897</t>
  </si>
  <si>
    <t>S7454</t>
  </si>
  <si>
    <t>2024-01-22 01:52</t>
  </si>
  <si>
    <t>U822</t>
  </si>
  <si>
    <t>S6920</t>
  </si>
  <si>
    <t>2024-01-29 06:21</t>
  </si>
  <si>
    <t>2024-01-08 16:22</t>
  </si>
  <si>
    <t>U338</t>
  </si>
  <si>
    <t>S5624</t>
  </si>
  <si>
    <t>2024-01-25 01:46</t>
  </si>
  <si>
    <t>2024-01-03 05:10</t>
  </si>
  <si>
    <t>S4625</t>
  </si>
  <si>
    <t>2024-01-19 10:52</t>
  </si>
  <si>
    <t>U724</t>
  </si>
  <si>
    <t>S5721</t>
  </si>
  <si>
    <t>2024-01-16 16:47</t>
  </si>
  <si>
    <t>U729</t>
  </si>
  <si>
    <t>S8554</t>
  </si>
  <si>
    <t>2024-01-17 02:17</t>
  </si>
  <si>
    <t>S8491</t>
  </si>
  <si>
    <t>2024-01-19 04:49</t>
  </si>
  <si>
    <t>S3364</t>
  </si>
  <si>
    <t>2024-02-04 10:53</t>
  </si>
  <si>
    <t>U752</t>
  </si>
  <si>
    <t>2024-01-09 22:07</t>
  </si>
  <si>
    <t>P627</t>
  </si>
  <si>
    <t>S6401</t>
  </si>
  <si>
    <t>2024-01-12 14:40</t>
  </si>
  <si>
    <t>S4469</t>
  </si>
  <si>
    <t>2024-01-06 08:00</t>
  </si>
  <si>
    <t>U711</t>
  </si>
  <si>
    <t>S4204</t>
  </si>
  <si>
    <t>2024-01-11 18:32</t>
  </si>
  <si>
    <t>P808</t>
  </si>
  <si>
    <t>S3061</t>
  </si>
  <si>
    <t>2024-01-11 22:16</t>
  </si>
  <si>
    <t>U773</t>
  </si>
  <si>
    <t>S9196</t>
  </si>
  <si>
    <t>2024-02-04 12:12</t>
  </si>
  <si>
    <t>S8914</t>
  </si>
  <si>
    <t>2024-01-23 07:48</t>
  </si>
  <si>
    <t>U241</t>
  </si>
  <si>
    <t>S9179</t>
  </si>
  <si>
    <t>2024-01-21 04:08</t>
  </si>
  <si>
    <t>P708</t>
  </si>
  <si>
    <t>S3019</t>
  </si>
  <si>
    <t>2024-01-20 19:05</t>
  </si>
  <si>
    <t>P831</t>
  </si>
  <si>
    <t>S5938</t>
  </si>
  <si>
    <t>2024-02-02 17:09</t>
  </si>
  <si>
    <t>2024-01-16 02:19</t>
  </si>
  <si>
    <t>P389</t>
  </si>
  <si>
    <t>S7746</t>
  </si>
  <si>
    <t>2024-01-19 15:11</t>
  </si>
  <si>
    <t>P320</t>
  </si>
  <si>
    <t>U186</t>
  </si>
  <si>
    <t>S8243</t>
  </si>
  <si>
    <t>2024-01-08 23:49</t>
  </si>
  <si>
    <t>S6645</t>
  </si>
  <si>
    <t>2024-01-14 17:05</t>
  </si>
  <si>
    <t>U277</t>
  </si>
  <si>
    <t>S4137</t>
  </si>
  <si>
    <t>2024-01-30 00:22</t>
  </si>
  <si>
    <t>U913</t>
  </si>
  <si>
    <t>S5719</t>
  </si>
  <si>
    <t>2024-01-11 05:55</t>
  </si>
  <si>
    <t>P279</t>
  </si>
  <si>
    <t>S7179</t>
  </si>
  <si>
    <t>2024-01-06 21:35</t>
  </si>
  <si>
    <t>2024-01-08 18:12</t>
  </si>
  <si>
    <t>U313</t>
  </si>
  <si>
    <t>S3627</t>
  </si>
  <si>
    <t>2024-01-08 13:42</t>
  </si>
  <si>
    <t>U161</t>
  </si>
  <si>
    <t>S8548</t>
  </si>
  <si>
    <t>2024-01-15 00:47</t>
  </si>
  <si>
    <t>P586</t>
  </si>
  <si>
    <t>U461</t>
  </si>
  <si>
    <t>S1851</t>
  </si>
  <si>
    <t>2024-01-18 18:50</t>
  </si>
  <si>
    <t>P376</t>
  </si>
  <si>
    <t>S6501</t>
  </si>
  <si>
    <t>2024-01-17 06:30</t>
  </si>
  <si>
    <t>P724</t>
  </si>
  <si>
    <t>S7213</t>
  </si>
  <si>
    <t>U691</t>
  </si>
  <si>
    <t>S9032</t>
  </si>
  <si>
    <t>2024-01-26 18:01</t>
  </si>
  <si>
    <t>P735</t>
  </si>
  <si>
    <t>S1906</t>
  </si>
  <si>
    <t>2024-01-26 09:20</t>
  </si>
  <si>
    <t>S6086</t>
  </si>
  <si>
    <t>2024-01-15 15:53</t>
  </si>
  <si>
    <t>P989</t>
  </si>
  <si>
    <t>S7278</t>
  </si>
  <si>
    <t>2024-01-11 18:11</t>
  </si>
  <si>
    <t>S6931</t>
  </si>
  <si>
    <t>2024-01-22 18:10</t>
  </si>
  <si>
    <t>S4573</t>
  </si>
  <si>
    <t>2024-01-15 03:52</t>
  </si>
  <si>
    <t>U941</t>
  </si>
  <si>
    <t>2024-01-03 18:33</t>
  </si>
  <si>
    <t>S3806</t>
  </si>
  <si>
    <t>2024-01-06 00:20</t>
  </si>
  <si>
    <t>P316</t>
  </si>
  <si>
    <t>2024-01-17 16:21</t>
  </si>
  <si>
    <t>U224</t>
  </si>
  <si>
    <t>S8030</t>
  </si>
  <si>
    <t>2024-01-09 02:05</t>
  </si>
  <si>
    <t>P149</t>
  </si>
  <si>
    <t>S8061</t>
  </si>
  <si>
    <t>2024-01-07 11:56</t>
  </si>
  <si>
    <t>S4583</t>
  </si>
  <si>
    <t>2024-01-18 12:04</t>
  </si>
  <si>
    <t>P277</t>
  </si>
  <si>
    <t>S6025</t>
  </si>
  <si>
    <t>2024-01-18 11:48</t>
  </si>
  <si>
    <t>S3474</t>
  </si>
  <si>
    <t>2024-01-24 07:58</t>
  </si>
  <si>
    <t>S8832</t>
  </si>
  <si>
    <t>2024-01-01 18:02</t>
  </si>
  <si>
    <t>P466</t>
  </si>
  <si>
    <t>S2801</t>
  </si>
  <si>
    <t>2024-01-11 03:26</t>
  </si>
  <si>
    <t>P191</t>
  </si>
  <si>
    <t>U529</t>
  </si>
  <si>
    <t>S6437</t>
  </si>
  <si>
    <t>2024-01-06 13:13</t>
  </si>
  <si>
    <t>U305</t>
  </si>
  <si>
    <t>2024-01-21 08:09</t>
  </si>
  <si>
    <t>U638</t>
  </si>
  <si>
    <t>S5612</t>
  </si>
  <si>
    <t>2024-01-31 17:48</t>
  </si>
  <si>
    <t>S6947</t>
  </si>
  <si>
    <t>2024-01-14 09:56</t>
  </si>
  <si>
    <t>S5495</t>
  </si>
  <si>
    <t>2024-01-03 13:51</t>
  </si>
  <si>
    <t>P413</t>
  </si>
  <si>
    <t>S9852</t>
  </si>
  <si>
    <t>2024-01-02 23:21</t>
  </si>
  <si>
    <t>2024-01-12 01:23</t>
  </si>
  <si>
    <t>S2819</t>
  </si>
  <si>
    <t>2024-01-03 17:01</t>
  </si>
  <si>
    <t>2024-01-29 06:04</t>
  </si>
  <si>
    <t>S9660</t>
  </si>
  <si>
    <t>2024-01-15 13:11</t>
  </si>
  <si>
    <t>2024-01-09 13:24</t>
  </si>
  <si>
    <t>S3865</t>
  </si>
  <si>
    <t>2024-02-03 23:17</t>
  </si>
  <si>
    <t>U422</t>
  </si>
  <si>
    <t>S6706</t>
  </si>
  <si>
    <t>2024-01-08 11:04</t>
  </si>
  <si>
    <t>2024-01-22 07:09</t>
  </si>
  <si>
    <t>P712</t>
  </si>
  <si>
    <t>U984</t>
  </si>
  <si>
    <t>S6431</t>
  </si>
  <si>
    <t>S6509</t>
  </si>
  <si>
    <t>2024-01-04 00:51</t>
  </si>
  <si>
    <t>U373</t>
  </si>
  <si>
    <t>S6124</t>
  </si>
  <si>
    <t>2024-02-03 23:32</t>
  </si>
  <si>
    <t>U770</t>
  </si>
  <si>
    <t>S3977</t>
  </si>
  <si>
    <t>2024-01-05 06:28</t>
  </si>
  <si>
    <t>P291</t>
  </si>
  <si>
    <t>S7751</t>
  </si>
  <si>
    <t>2024-01-16 23:57</t>
  </si>
  <si>
    <t>S6091</t>
  </si>
  <si>
    <t>2024-01-09 14:24</t>
  </si>
  <si>
    <t>S1755</t>
  </si>
  <si>
    <t>2024-01-03 07:35</t>
  </si>
  <si>
    <t>2024-01-02 20:08</t>
  </si>
  <si>
    <t>2024-01-22 19:55</t>
  </si>
  <si>
    <t>P344</t>
  </si>
  <si>
    <t>S4709</t>
  </si>
  <si>
    <t>2024-01-02 00:49</t>
  </si>
  <si>
    <t>2024-02-04 16:04</t>
  </si>
  <si>
    <t>S3799</t>
  </si>
  <si>
    <t>2024-01-22 02:08</t>
  </si>
  <si>
    <t>S3760</t>
  </si>
  <si>
    <t>2024-01-05 02:54</t>
  </si>
  <si>
    <t>P702</t>
  </si>
  <si>
    <t>S1314</t>
  </si>
  <si>
    <t>2024-01-27 12:07</t>
  </si>
  <si>
    <t>U783</t>
  </si>
  <si>
    <t>S3800</t>
  </si>
  <si>
    <t>2024-02-01 11:23</t>
  </si>
  <si>
    <t>S2991</t>
  </si>
  <si>
    <t>2024-01-08 06:45</t>
  </si>
  <si>
    <t>U160</t>
  </si>
  <si>
    <t>S6594</t>
  </si>
  <si>
    <t>2024-01-07 23:43</t>
  </si>
  <si>
    <t>U952</t>
  </si>
  <si>
    <t>2024-01-11 04:57</t>
  </si>
  <si>
    <t>P629</t>
  </si>
  <si>
    <t>U328</t>
  </si>
  <si>
    <t>S5441</t>
  </si>
  <si>
    <t>2024-01-07 21:59</t>
  </si>
  <si>
    <t>U687</t>
  </si>
  <si>
    <t>S7689</t>
  </si>
  <si>
    <t>2024-02-04 11:24</t>
  </si>
  <si>
    <t>S2086</t>
  </si>
  <si>
    <t>2024-01-27 01:55</t>
  </si>
  <si>
    <t>U860</t>
  </si>
  <si>
    <t>S6533</t>
  </si>
  <si>
    <t>2024-01-30 07:39</t>
  </si>
  <si>
    <t>U301</t>
  </si>
  <si>
    <t>S7635</t>
  </si>
  <si>
    <t>2024-01-19 14:29</t>
  </si>
  <si>
    <t>P416</t>
  </si>
  <si>
    <t>S3713</t>
  </si>
  <si>
    <t>S6250</t>
  </si>
  <si>
    <t>2024-01-30 17:34</t>
  </si>
  <si>
    <t>2024-01-24 09:43</t>
  </si>
  <si>
    <t>P241</t>
  </si>
  <si>
    <t>S5567</t>
  </si>
  <si>
    <t>2024-01-13 00:19</t>
  </si>
  <si>
    <t>P674</t>
  </si>
  <si>
    <t>S7573</t>
  </si>
  <si>
    <t>2024-01-25 11:04</t>
  </si>
  <si>
    <t>P426</t>
  </si>
  <si>
    <t>U682</t>
  </si>
  <si>
    <t>S4463</t>
  </si>
  <si>
    <t>2024-01-20 07:48</t>
  </si>
  <si>
    <t>S6224</t>
  </si>
  <si>
    <t>2024-01-19 21:57</t>
  </si>
  <si>
    <t>P298</t>
  </si>
  <si>
    <t>U742</t>
  </si>
  <si>
    <t>2024-01-26 12:32</t>
  </si>
  <si>
    <t>P885</t>
  </si>
  <si>
    <t>S2178</t>
  </si>
  <si>
    <t>2024-01-22 14:43</t>
  </si>
  <si>
    <t>S9247</t>
  </si>
  <si>
    <t>2024-01-18 19:16</t>
  </si>
  <si>
    <t>P825</t>
  </si>
  <si>
    <t>S2376</t>
  </si>
  <si>
    <t>2024-01-05 22:29</t>
  </si>
  <si>
    <t>U826</t>
  </si>
  <si>
    <t>S4432</t>
  </si>
  <si>
    <t>2024-01-20 16:08</t>
  </si>
  <si>
    <t>S7496</t>
  </si>
  <si>
    <t>2024-01-23 02:53</t>
  </si>
  <si>
    <t>S4447</t>
  </si>
  <si>
    <t>2024-01-18 09:44</t>
  </si>
  <si>
    <t>U392</t>
  </si>
  <si>
    <t>S3681</t>
  </si>
  <si>
    <t>2024-01-15 18:02</t>
  </si>
  <si>
    <t>P526</t>
  </si>
  <si>
    <t>S7664</t>
  </si>
  <si>
    <t>2024-01-16 11:10</t>
  </si>
  <si>
    <t>S9615</t>
  </si>
  <si>
    <t>2024-01-27 14:30</t>
  </si>
  <si>
    <t>U567</t>
  </si>
  <si>
    <t>S3313</t>
  </si>
  <si>
    <t>2024-02-01 23:36</t>
  </si>
  <si>
    <t>S6742</t>
  </si>
  <si>
    <t>2024-02-02 03:56</t>
  </si>
  <si>
    <t>U500</t>
  </si>
  <si>
    <t>S6911</t>
  </si>
  <si>
    <t>2024-01-03 21:10</t>
  </si>
  <si>
    <t>P700</t>
  </si>
  <si>
    <t>S1604</t>
  </si>
  <si>
    <t>2024-01-04 18:26</t>
  </si>
  <si>
    <t>U806</t>
  </si>
  <si>
    <t>S1775</t>
  </si>
  <si>
    <t>2024-01-01 09:20</t>
  </si>
  <si>
    <t>S3588</t>
  </si>
  <si>
    <t>2024-01-21 06:31</t>
  </si>
  <si>
    <t>S2069</t>
  </si>
  <si>
    <t>2024-01-05 11:08</t>
  </si>
  <si>
    <t>P238</t>
  </si>
  <si>
    <t>U973</t>
  </si>
  <si>
    <t>S7610</t>
  </si>
  <si>
    <t>2024-01-12 01:15</t>
  </si>
  <si>
    <t>S8233</t>
  </si>
  <si>
    <t>2024-01-21 20:04</t>
  </si>
  <si>
    <t>S6476</t>
  </si>
  <si>
    <t>2024-01-17 23:11</t>
  </si>
  <si>
    <t>P976</t>
  </si>
  <si>
    <t>Total Item Purchased</t>
  </si>
  <si>
    <t>Total Item Add_to_Cart</t>
  </si>
  <si>
    <t>Total Item only Viewed</t>
  </si>
  <si>
    <t>Total</t>
  </si>
  <si>
    <t>Total Revenue Generated</t>
  </si>
  <si>
    <t>Which city generates more revenue</t>
  </si>
  <si>
    <t>Grand Total</t>
  </si>
  <si>
    <t>Sum of Revenue</t>
  </si>
  <si>
    <t>Product Category</t>
  </si>
  <si>
    <t>Count of Revenue</t>
  </si>
  <si>
    <t>Date</t>
  </si>
  <si>
    <t>Month</t>
  </si>
  <si>
    <t>Count of Session_ID</t>
  </si>
  <si>
    <t>Event Type</t>
  </si>
  <si>
    <t>Revenue by Category</t>
  </si>
  <si>
    <t>City-wise Revenue Heat</t>
  </si>
  <si>
    <t>Product Category Wise Revenue</t>
  </si>
  <si>
    <t xml:space="preserve">Event wise Session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</si>
</sst>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5" formatCode="_ * #,##0_ ;_ * \-#,##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7030A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vertical="center"/>
    </xf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Fill="1" applyBorder="1"/>
    <xf numFmtId="165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 applyBorder="1" applyAlignment="1">
      <alignment vertical="center"/>
    </xf>
    <xf numFmtId="14" fontId="0" fillId="0" borderId="1" xfId="0" applyNumberFormat="1" applyBorder="1"/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036.523126736109" createdVersion="6" refreshedVersion="6" minRefreshableVersion="3" recordCount="1000">
  <cacheSource type="worksheet">
    <worksheetSource ref="A1:I1001" sheet="BigData_Ecommerce_Clickstream"/>
  </cacheSource>
  <cacheFields count="9">
    <cacheField name="User_ID" numFmtId="0">
      <sharedItems/>
    </cacheField>
    <cacheField name="Session_ID" numFmtId="0">
      <sharedItems/>
    </cacheField>
    <cacheField name="Event_Time" numFmtId="0">
      <sharedItems count="989">
        <s v="2024-01-03 16:58"/>
        <s v="2024-01-15 14:33"/>
        <s v="2024-01-06 00:05"/>
        <s v="2024-01-22 00:08"/>
        <s v="2024-01-23 15:35"/>
        <s v="2024-01-30 12:44"/>
        <s v="2024-01-26 22:26"/>
        <s v="2024-01-23 06:11"/>
        <s v="2024-01-23 14:27"/>
        <s v="2024-01-14 01:12"/>
        <s v="2024-01-17 01:40"/>
        <s v="2024-01-06 11:54"/>
        <s v="2024-01-10 00:18"/>
        <s v="2024-01-29 19:03"/>
        <s v="2024-01-20 05:48"/>
        <s v="2024-01-18 19:35"/>
        <s v="2024-01-14 08:43"/>
        <s v="2024-01-26 14:00"/>
        <s v="2024-01-13 03:40"/>
        <s v="2024-01-13 19:37"/>
        <s v="2024-01-01 18:21"/>
        <s v="2024-01-29 13:12"/>
        <s v="2024-02-03 16:59"/>
        <s v="2024-01-07 01:11"/>
        <s v="2024-01-17 18:34"/>
        <s v="2024-02-01 14:39"/>
        <s v="2024-01-09 23:48"/>
        <s v="2024-01-23 19:54"/>
        <s v="2024-01-24 23:13"/>
        <s v="2024-01-08 09:08"/>
        <s v="2024-01-09 21:32"/>
        <s v="2024-01-25 15:35"/>
        <s v="2024-01-18 04:59"/>
        <s v="2024-01-21 08:34"/>
        <s v="2024-02-03 23:10"/>
        <s v="2024-01-06 00:38"/>
        <s v="2024-01-22 01:37"/>
        <s v="2024-01-21 14:21"/>
        <s v="2024-02-03 18:52"/>
        <s v="2024-02-01 06:51"/>
        <s v="2024-01-03 01:22"/>
        <s v="2024-01-12 11:33"/>
        <s v="2024-01-26 14:07"/>
        <s v="2024-01-22 06:09"/>
        <s v="2024-01-05 12:02"/>
        <s v="2024-01-22 01:04"/>
        <s v="2024-01-12 15:16"/>
        <s v="2024-01-30 08:47"/>
        <s v="2024-01-11 23:35"/>
        <s v="2024-01-05 07:17"/>
        <s v="2024-01-25 16:23"/>
        <s v="2024-01-17 04:54"/>
        <s v="2024-01-03 03:03"/>
        <s v="2024-01-13 14:56"/>
        <s v="2024-01-16 19:44"/>
        <s v="2024-01-19 05:22"/>
        <s v="2024-01-25 12:44"/>
        <s v="2024-01-06 17:00"/>
        <s v="2024-01-23 06:38"/>
        <s v="2024-01-03 00:08"/>
        <s v="2024-01-31 18:34"/>
        <s v="2024-01-30 20:29"/>
        <s v="2024-01-01 08:07"/>
        <s v="2024-01-11 14:37"/>
        <s v="2024-01-06 14:29"/>
        <s v="2024-01-30 20:58"/>
        <s v="2024-01-28 05:26"/>
        <s v="2024-01-10 06:15"/>
        <s v="2024-01-15 11:49"/>
        <s v="2024-01-04 06:11"/>
        <s v="2024-01-02 08:35"/>
        <s v="2024-01-06 04:03"/>
        <s v="2024-01-20 17:03"/>
        <s v="2024-01-07 00:19"/>
        <s v="2024-01-31 03:47"/>
        <s v="2024-02-03 17:31"/>
        <s v="2024-01-11 00:31"/>
        <s v="2024-01-21 22:05"/>
        <s v="2024-01-14 09:28"/>
        <s v="2024-02-02 07:24"/>
        <s v="2024-01-02 16:04"/>
        <s v="2024-01-08 17:54"/>
        <s v="2024-01-04 16:51"/>
        <s v="2024-01-10 22:20"/>
        <s v="2024-01-24 02:07"/>
        <s v="2024-01-15 07:03"/>
        <s v="2024-01-22 08:37"/>
        <s v="2024-01-22 11:58"/>
        <s v="2024-01-28 09:43"/>
        <s v="2024-02-01 00:46"/>
        <s v="2024-01-19 13:57"/>
        <s v="2024-01-20 02:22"/>
        <s v="2024-01-14 11:21"/>
        <s v="2024-01-18 15:35"/>
        <s v="2024-01-27 15:30"/>
        <s v="2024-01-25 18:05"/>
        <s v="2024-02-04 14:31"/>
        <s v="2024-02-04 01:42"/>
        <s v="2024-01-09 18:04"/>
        <s v="2024-01-02 16:49"/>
        <s v="2024-01-24 11:01"/>
        <s v="2024-02-01 19:30"/>
        <s v="2024-01-23 14:24"/>
        <s v="2024-01-28 17:46"/>
        <s v="2024-01-08 12:34"/>
        <s v="2024-01-19 15:02"/>
        <s v="2024-01-12 06:49"/>
        <s v="2024-01-06 10:41"/>
        <s v="2024-02-03 02:22"/>
        <s v="2024-01-03 11:10"/>
        <s v="2024-01-22 18:16"/>
        <s v="2024-01-14 11:12"/>
        <s v="2024-01-20 13:02"/>
        <s v="2024-01-08 02:30"/>
        <s v="2024-01-15 13:43"/>
        <s v="2024-01-31 01:41"/>
        <s v="2024-01-23 04:01"/>
        <s v="2024-01-04 05:05"/>
        <s v="2024-01-12 03:53"/>
        <s v="2024-01-27 07:07"/>
        <s v="2024-01-14 17:25"/>
        <s v="2024-01-04 12:58"/>
        <s v="2024-01-11 12:12"/>
        <s v="2024-01-08 18:56"/>
        <s v="2024-01-03 16:56"/>
        <s v="2024-01-03 19:10"/>
        <s v="2024-01-16 10:57"/>
        <s v="2024-01-11 16:04"/>
        <s v="2024-01-11 02:08"/>
        <s v="2024-01-02 17:46"/>
        <s v="2024-01-05 07:47"/>
        <s v="2024-01-02 08:00"/>
        <s v="2024-01-10 22:09"/>
        <s v="2024-01-15 17:19"/>
        <s v="2024-01-13 09:35"/>
        <s v="2024-02-03 13:40"/>
        <s v="2024-01-21 08:38"/>
        <s v="2024-01-24 10:28"/>
        <s v="2024-01-25 16:52"/>
        <s v="2024-01-08 18:45"/>
        <s v="2024-01-22 05:35"/>
        <s v="2024-01-05 06:46"/>
        <s v="2024-01-17 21:59"/>
        <s v="2024-02-01 18:31"/>
        <s v="2024-01-18 11:45"/>
        <s v="2024-01-09 17:08"/>
        <s v="2024-01-19 23:03"/>
        <s v="2024-01-08 08:29"/>
        <s v="2024-02-03 05:29"/>
        <s v="2024-01-07 12:02"/>
        <s v="2024-01-14 05:41"/>
        <s v="2024-01-22 07:17"/>
        <s v="2024-01-23 20:43"/>
        <s v="2024-01-10 09:49"/>
        <s v="2024-01-19 22:28"/>
        <s v="2024-01-02 08:22"/>
        <s v="2024-01-11 06:24"/>
        <s v="2024-01-06 18:30"/>
        <s v="2024-01-21 23:42"/>
        <s v="2024-01-12 23:08"/>
        <s v="2024-01-18 12:52"/>
        <s v="2024-01-12 16:58"/>
        <s v="2024-01-24 12:31"/>
        <s v="2024-01-04 01:48"/>
        <s v="2024-02-01 13:56"/>
        <s v="2024-01-02 16:58"/>
        <s v="2024-01-02 03:21"/>
        <s v="2024-01-03 11:31"/>
        <s v="2024-01-24 13:49"/>
        <s v="2024-01-13 09:30"/>
        <s v="2024-01-26 20:45"/>
        <s v="2024-02-03 18:34"/>
        <s v="2024-01-13 19:11"/>
        <s v="2024-01-29 01:09"/>
        <s v="2024-02-01 22:44"/>
        <s v="2024-01-24 20:08"/>
        <s v="2024-01-03 02:17"/>
        <s v="2024-01-22 01:33"/>
        <s v="2024-01-23 09:14"/>
        <s v="2024-01-28 14:17"/>
        <s v="2024-01-23 01:48"/>
        <s v="2024-02-03 00:35"/>
        <s v="2024-01-29 23:51"/>
        <s v="2024-01-31 14:20"/>
        <s v="2024-01-01 18:52"/>
        <s v="2024-01-17 12:41"/>
        <s v="2024-01-21 13:11"/>
        <s v="2024-01-13 20:49"/>
        <s v="2024-01-09 23:06"/>
        <s v="2024-01-11 14:07"/>
        <s v="2024-01-04 21:59"/>
        <s v="2024-01-10 17:14"/>
        <s v="2024-01-25 08:21"/>
        <s v="2024-02-03 06:48"/>
        <s v="2024-01-13 12:29"/>
        <s v="2024-01-28 04:20"/>
        <s v="2024-01-08 05:19"/>
        <s v="2024-01-27 06:26"/>
        <s v="2024-01-21 23:54"/>
        <s v="2024-01-29 13:02"/>
        <s v="2024-01-25 08:46"/>
        <s v="2024-01-14 18:21"/>
        <s v="2024-01-25 06:53"/>
        <s v="2024-01-22 02:14"/>
        <s v="2024-01-09 11:07"/>
        <s v="2024-01-21 07:51"/>
        <s v="2024-01-24 02:47"/>
        <s v="2024-01-01 18:49"/>
        <s v="2024-01-14 19:56"/>
        <s v="2024-01-16 21:47"/>
        <s v="2024-01-30 13:44"/>
        <s v="2024-01-28 05:02"/>
        <s v="2024-02-03 09:30"/>
        <s v="2024-01-07 10:35"/>
        <s v="2024-01-23 09:19"/>
        <s v="2024-01-17 12:13"/>
        <s v="2024-01-23 05:34"/>
        <s v="2024-01-02 10:34"/>
        <s v="2024-01-17 06:12"/>
        <s v="2024-01-04 08:58"/>
        <s v="2024-01-02 22:56"/>
        <s v="2024-01-29 06:05"/>
        <s v="2024-01-02 08:27"/>
        <s v="2024-01-08 13:30"/>
        <s v="2024-01-07 18:35"/>
        <s v="2024-01-27 02:25"/>
        <s v="2024-01-28 06:00"/>
        <s v="2024-01-23 02:28"/>
        <s v="2024-01-10 07:25"/>
        <s v="2024-01-04 06:07"/>
        <s v="2024-01-10 22:52"/>
        <s v="2024-01-26 13:42"/>
        <s v="2024-01-29 22:55"/>
        <s v="2024-01-13 05:18"/>
        <s v="2024-01-30 07:48"/>
        <s v="2024-01-31 12:36"/>
        <s v="2024-01-27 00:25"/>
        <s v="2024-01-11 10:04"/>
        <s v="2024-01-13 02:13"/>
        <s v="2024-01-31 21:02"/>
        <s v="2024-01-20 22:11"/>
        <s v="2024-01-01 13:30"/>
        <s v="2024-01-13 14:46"/>
        <s v="2024-01-17 13:37"/>
        <s v="2024-01-21 16:26"/>
        <s v="2024-02-02 14:47"/>
        <s v="2024-01-27 23:57"/>
        <s v="2024-01-23 17:46"/>
        <s v="2024-01-14 01:04"/>
        <s v="2024-01-10 21:41"/>
        <s v="2024-01-21 05:27"/>
        <s v="2024-01-31 12:27"/>
        <s v="2024-01-08 11:31"/>
        <s v="2024-01-11 05:12"/>
        <s v="2024-01-12 18:47"/>
        <s v="2024-01-09 21:42"/>
        <s v="2024-01-11 17:38"/>
        <s v="2024-01-28 15:07"/>
        <s v="2024-01-18 12:32"/>
        <s v="2024-01-26 21:23"/>
        <s v="2024-01-18 07:37"/>
        <s v="2024-01-12 09:53"/>
        <s v="2024-01-02 07:25"/>
        <s v="2024-01-23 17:32"/>
        <s v="2024-01-04 21:46"/>
        <s v="2024-01-24 11:42"/>
        <s v="2024-01-07 01:37"/>
        <s v="2024-01-29 06:46"/>
        <s v="2024-01-08 09:58"/>
        <s v="2024-01-19 08:10"/>
        <s v="2024-01-27 14:42"/>
        <s v="2024-01-10 03:27"/>
        <s v="2024-01-14 13:24"/>
        <s v="2024-01-17 11:09"/>
        <s v="2024-01-23 05:52"/>
        <s v="2024-01-26 23:06"/>
        <s v="2024-01-13 22:16"/>
        <s v="2024-01-15 01:42"/>
        <s v="2024-01-01 09:01"/>
        <s v="2024-01-16 10:29"/>
        <s v="2024-01-07 14:34"/>
        <s v="2024-01-20 00:09"/>
        <s v="2024-01-01 16:47"/>
        <s v="2024-01-09 16:33"/>
        <s v="2024-01-18 07:55"/>
        <s v="2024-01-24 02:14"/>
        <s v="2024-01-12 03:44"/>
        <s v="2024-01-20 22:27"/>
        <s v="2024-01-15 21:17"/>
        <s v="2024-01-06 10:57"/>
        <s v="2024-01-24 19:48"/>
        <s v="2024-01-26 19:58"/>
        <s v="2024-01-16 08:07"/>
        <s v="2024-01-11 15:46"/>
        <s v="2024-01-19 22:46"/>
        <s v="2024-02-01 09:26"/>
        <s v="2024-01-23 00:40"/>
        <s v="2024-01-09 22:55"/>
        <s v="2024-01-08 09:34"/>
        <s v="2024-01-27 18:36"/>
        <s v="2024-02-04 16:06"/>
        <s v="2024-01-31 10:56"/>
        <s v="2024-01-04 13:26"/>
        <s v="2024-01-09 08:46"/>
        <s v="2024-01-21 15:16"/>
        <s v="2024-01-28 23:55"/>
        <s v="2024-01-18 02:42"/>
        <s v="2024-01-15 02:01"/>
        <s v="2024-01-10 15:10"/>
        <s v="2024-01-21 19:07"/>
        <s v="2024-02-04 16:32"/>
        <s v="2024-01-19 21:59"/>
        <s v="2024-02-01 04:30"/>
        <s v="2024-02-01 11:56"/>
        <s v="2024-01-26 07:54"/>
        <s v="2024-01-06 06:09"/>
        <s v="2024-01-27 16:24"/>
        <s v="2024-01-12 04:23"/>
        <s v="2024-01-20 05:01"/>
        <s v="2024-01-25 23:30"/>
        <s v="2024-01-08 02:58"/>
        <s v="2024-01-02 22:30"/>
        <s v="2024-01-14 16:55"/>
        <s v="2024-01-15 06:22"/>
        <s v="2024-01-29 06:43"/>
        <s v="2024-01-11 01:23"/>
        <s v="2024-01-30 08:00"/>
        <s v="2024-02-04 08:22"/>
        <s v="2024-02-01 07:18"/>
        <s v="2024-01-27 02:09"/>
        <s v="2024-01-20 03:43"/>
        <s v="2024-01-07 21:06"/>
        <s v="2024-01-17 14:17"/>
        <s v="2024-01-10 21:49"/>
        <s v="2024-01-17 06:06"/>
        <s v="2024-01-21 07:45"/>
        <s v="2024-01-27 07:41"/>
        <s v="2024-01-30 15:03"/>
        <s v="2024-01-19 23:41"/>
        <s v="2024-01-04 08:07"/>
        <s v="2024-01-15 07:20"/>
        <s v="2024-01-16 19:45"/>
        <s v="2024-01-10 23:19"/>
        <s v="2024-02-01 22:40"/>
        <s v="2024-01-26 10:56"/>
        <s v="2024-01-12 08:40"/>
        <s v="2024-01-23 07:33"/>
        <s v="2024-01-26 08:59"/>
        <s v="2024-01-10 21:28"/>
        <s v="2024-01-21 16:41"/>
        <s v="2024-02-03 00:12"/>
        <s v="2024-01-26 14:52"/>
        <s v="2024-01-10 19:37"/>
        <s v="2024-01-10 13:45"/>
        <s v="2024-01-06 02:34"/>
        <s v="2024-01-02 03:41"/>
        <s v="2024-01-30 07:12"/>
        <s v="2024-01-10 09:01"/>
        <s v="2024-01-21 09:26"/>
        <s v="2024-01-24 00:52"/>
        <s v="2024-02-01 05:02"/>
        <s v="2024-01-14 09:20"/>
        <s v="2024-01-12 21:30"/>
        <s v="2024-01-22 19:09"/>
        <s v="2024-01-22 03:05"/>
        <s v="2024-02-01 02:17"/>
        <s v="2024-01-13 05:43"/>
        <s v="2024-01-06 09:19"/>
        <s v="2024-01-12 01:55"/>
        <s v="2024-01-15 10:34"/>
        <s v="2024-01-29 02:33"/>
        <s v="2024-01-04 16:10"/>
        <s v="2024-01-14 09:08"/>
        <s v="2024-01-06 07:57"/>
        <s v="2024-01-30 01:13"/>
        <s v="2024-01-03 18:10"/>
        <s v="2024-01-11 14:31"/>
        <s v="2024-01-17 01:12"/>
        <s v="2024-01-06 17:51"/>
        <s v="2024-01-23 16:50"/>
        <s v="2024-01-27 20:12"/>
        <s v="2024-01-24 01:09"/>
        <s v="2024-01-27 01:06"/>
        <s v="2024-01-04 17:42"/>
        <s v="2024-02-02 03:43"/>
        <s v="2024-01-07 05:21"/>
        <s v="2024-02-04 06:53"/>
        <s v="2024-01-30 18:11"/>
        <s v="2024-01-04 06:32"/>
        <s v="2024-01-07 18:29"/>
        <s v="2024-01-05 20:18"/>
        <s v="2024-01-20 10:35"/>
        <s v="2024-01-23 16:23"/>
        <s v="2024-01-27 06:42"/>
        <s v="2024-01-28 19:23"/>
        <s v="2024-01-16 21:14"/>
        <s v="2024-01-26 22:20"/>
        <s v="2024-01-01 21:08"/>
        <s v="2024-01-13 21:17"/>
        <s v="2024-01-13 10:24"/>
        <s v="2024-02-01 10:40"/>
        <s v="2024-01-08 21:17"/>
        <s v="2024-01-06 04:52"/>
        <s v="2024-01-15 02:57"/>
        <s v="2024-01-03 13:24"/>
        <s v="2024-01-20 09:03"/>
        <s v="2024-01-15 08:12"/>
        <s v="2024-01-25 01:34"/>
        <s v="2024-02-01 01:50"/>
        <s v="2024-01-31 03:28"/>
        <s v="2024-01-05 09:29"/>
        <s v="2024-01-06 20:57"/>
        <s v="2024-01-12 04:17"/>
        <s v="2024-01-31 02:28"/>
        <s v="2024-02-03 03:43"/>
        <s v="2024-01-25 01:37"/>
        <s v="2024-01-21 23:48"/>
        <s v="2024-02-02 07:30"/>
        <s v="2024-01-02 23:05"/>
        <s v="2024-02-01 23:12"/>
        <s v="2024-01-27 14:05"/>
        <s v="2024-01-04 22:10"/>
        <s v="2024-01-26 18:37"/>
        <s v="2024-01-17 13:23"/>
        <s v="2024-01-06 20:42"/>
        <s v="2024-01-22 18:40"/>
        <s v="2024-01-13 09:34"/>
        <s v="2024-01-13 07:18"/>
        <s v="2024-01-04 20:49"/>
        <s v="2024-01-20 15:06"/>
        <s v="2024-01-02 00:20"/>
        <s v="2024-02-03 20:58"/>
        <s v="2024-01-08 17:35"/>
        <s v="2024-01-03 23:21"/>
        <s v="2024-02-01 08:29"/>
        <s v="2024-02-04 08:45"/>
        <s v="2024-01-13 22:12"/>
        <s v="2024-01-29 10:19"/>
        <s v="2024-01-27 07:28"/>
        <s v="2024-01-09 13:23"/>
        <s v="2024-01-25 11:07"/>
        <s v="2024-01-25 20:09"/>
        <s v="2024-01-09 07:38"/>
        <s v="2024-01-10 01:52"/>
        <s v="2024-01-23 15:05"/>
        <s v="2024-01-30 16:43"/>
        <s v="2024-01-07 23:21"/>
        <s v="2024-02-02 22:22"/>
        <s v="2024-01-28 21:37"/>
        <s v="2024-01-30 21:28"/>
        <s v="2024-01-18 23:09"/>
        <s v="2024-01-21 11:12"/>
        <s v="2024-01-03 12:38"/>
        <s v="2024-01-16 15:30"/>
        <s v="2024-01-01 10:31"/>
        <s v="2024-01-03 01:34"/>
        <s v="2024-01-26 14:47"/>
        <s v="2024-01-21 10:35"/>
        <s v="2024-01-22 03:57"/>
        <s v="2024-01-14 09:51"/>
        <s v="2024-01-03 18:54"/>
        <s v="2024-01-12 09:45"/>
        <s v="2024-01-20 09:51"/>
        <s v="2024-01-18 19:10"/>
        <s v="2024-01-26 17:08"/>
        <s v="2024-01-23 13:34"/>
        <s v="2024-01-17 02:56"/>
        <s v="2024-01-30 17:13"/>
        <s v="2024-01-27 17:44"/>
        <s v="2024-01-30 03:42"/>
        <s v="2024-01-28 05:18"/>
        <s v="2024-01-22 03:39"/>
        <s v="2024-01-21 12:12"/>
        <s v="2024-02-01 14:18"/>
        <s v="2024-01-19 09:12"/>
        <s v="2024-01-19 09:36"/>
        <s v="2024-01-29 09:13"/>
        <s v="2024-01-06 14:32"/>
        <s v="2024-01-10 08:26"/>
        <s v="2024-01-01 05:29"/>
        <s v="2024-01-24 15:28"/>
        <s v="2024-01-29 10:25"/>
        <s v="2024-01-24 04:38"/>
        <s v="2024-01-14 13:59"/>
        <s v="2024-01-08 11:12"/>
        <s v="2024-01-12 19:03"/>
        <s v="2024-01-22 06:20"/>
        <s v="2024-02-03 15:37"/>
        <s v="2024-01-23 18:40"/>
        <s v="2024-01-05 22:36"/>
        <s v="2024-01-11 06:56"/>
        <s v="2024-02-04 05:37"/>
        <s v="2024-01-30 04:53"/>
        <s v="2024-01-24 23:34"/>
        <s v="2024-01-29 03:41"/>
        <s v="2024-01-24 00:01"/>
        <s v="2024-01-29 17:37"/>
        <s v="2024-01-15 03:06"/>
        <s v="2024-01-20 05:39"/>
        <s v="2024-01-30 17:01"/>
        <s v="2024-01-30 09:37"/>
        <s v="2024-01-10 18:49"/>
        <s v="2024-02-03 14:14"/>
        <s v="2024-01-11 20:13"/>
        <s v="2024-01-12 12:20"/>
        <s v="2024-01-03 14:08"/>
        <s v="2024-02-03 18:27"/>
        <s v="2024-02-03 01:35"/>
        <s v="2024-02-02 11:32"/>
        <s v="2024-01-12 15:49"/>
        <s v="2024-01-28 13:35"/>
        <s v="2024-01-02 03:38"/>
        <s v="2024-01-29 11:00"/>
        <s v="2024-02-02 19:50"/>
        <s v="2024-01-24 20:59"/>
        <s v="2024-02-01 16:12"/>
        <s v="2024-01-18 07:21"/>
        <s v="2024-01-17 15:54"/>
        <s v="2024-01-23 16:10"/>
        <s v="2024-01-27 17:52"/>
        <s v="2024-01-15 13:49"/>
        <s v="2024-01-06 00:02"/>
        <s v="2024-01-07 18:21"/>
        <s v="2024-01-20 23:56"/>
        <s v="2024-01-02 22:51"/>
        <s v="2024-01-25 16:35"/>
        <s v="2024-01-30 12:42"/>
        <s v="2024-01-16 11:11"/>
        <s v="2024-01-02 04:19"/>
        <s v="2024-01-07 12:36"/>
        <s v="2024-01-02 15:49"/>
        <s v="2024-01-12 00:06"/>
        <s v="2024-01-31 17:00"/>
        <s v="2024-02-02 06:27"/>
        <s v="2024-01-06 01:49"/>
        <s v="2024-01-02 03:01"/>
        <s v="2024-01-26 04:14"/>
        <s v="2024-02-03 07:20"/>
        <s v="2024-01-18 14:00"/>
        <s v="2024-01-03 16:07"/>
        <s v="2024-01-07 12:31"/>
        <s v="2024-01-31 10:15"/>
        <s v="2024-02-01 13:46"/>
        <s v="2024-01-03 11:56"/>
        <s v="2024-01-01 02:36"/>
        <s v="2024-01-11 01:18"/>
        <s v="2024-01-17 20:19"/>
        <s v="2024-01-12 20:08"/>
        <s v="2024-01-17 02:14"/>
        <s v="2024-01-04 21:42"/>
        <s v="2024-01-31 16:48"/>
        <s v="2024-01-09 21:25"/>
        <s v="2024-01-02 06:10"/>
        <s v="2024-01-29 12:43"/>
        <s v="2024-01-15 00:30"/>
        <s v="2024-01-27 06:57"/>
        <s v="2024-01-27 10:17"/>
        <s v="2024-01-31 16:41"/>
        <s v="2024-01-24 10:12"/>
        <s v="2024-01-13 20:55"/>
        <s v="2024-01-22 15:49"/>
        <s v="2024-01-14 04:06"/>
        <s v="2024-01-18 15:36"/>
        <s v="2024-01-22 23:48"/>
        <s v="2024-02-03 14:25"/>
        <s v="2024-01-27 21:29"/>
        <s v="2024-01-06 08:58"/>
        <s v="2024-01-11 12:06"/>
        <s v="2024-02-04 15:27"/>
        <s v="2024-01-08 16:18"/>
        <s v="2024-01-30 11:26"/>
        <s v="2024-01-04 04:51"/>
        <s v="2024-01-10 10:07"/>
        <s v="2024-01-09 15:38"/>
        <s v="2024-02-04 15:06"/>
        <s v="2024-01-19 13:06"/>
        <s v="2024-01-16 03:39"/>
        <s v="2024-01-15 04:20"/>
        <s v="2024-01-24 14:59"/>
        <s v="2024-01-01 06:15"/>
        <s v="2024-01-12 15:31"/>
        <s v="2024-01-05 11:48"/>
        <s v="2024-01-19 19:52"/>
        <s v="2024-01-21 17:27"/>
        <s v="2024-01-26 14:11"/>
        <s v="2024-01-01 21:09"/>
        <s v="2024-01-31 15:13"/>
        <s v="2024-01-11 16:37"/>
        <s v="2024-01-30 06:53"/>
        <s v="2024-01-20 13:00"/>
        <s v="2024-01-20 02:33"/>
        <s v="2024-01-30 13:50"/>
        <s v="2024-01-15 06:50"/>
        <s v="2024-01-26 20:14"/>
        <s v="2024-02-04 12:11"/>
        <s v="2024-01-09 09:12"/>
        <s v="2024-01-26 01:39"/>
        <s v="2024-01-24 17:32"/>
        <s v="2024-01-10 07:11"/>
        <s v="2024-01-21 15:26"/>
        <s v="2024-01-11 11:07"/>
        <s v="2024-02-01 20:23"/>
        <s v="2024-01-31 06:37"/>
        <s v="2024-01-04 03:58"/>
        <s v="2024-01-26 22:57"/>
        <s v="2024-01-14 17:44"/>
        <s v="2024-01-30 19:26"/>
        <s v="2024-02-01 20:54"/>
        <s v="2024-01-18 04:11"/>
        <s v="2024-01-25 22:07"/>
        <s v="2024-01-14 03:38"/>
        <s v="2024-01-14 15:25"/>
        <s v="2024-02-02 00:20"/>
        <s v="2024-01-03 07:20"/>
        <s v="2024-01-11 01:58"/>
        <s v="2024-01-28 15:22"/>
        <s v="2024-01-02 04:31"/>
        <s v="2024-01-14 19:55"/>
        <s v="2024-01-16 00:51"/>
        <s v="2024-01-10 21:44"/>
        <s v="2024-01-04 23:18"/>
        <s v="2024-01-06 06:16"/>
        <s v="2024-01-02 02:34"/>
        <s v="2024-01-11 14:08"/>
        <s v="2024-01-25 13:53"/>
        <s v="2024-01-03 11:27"/>
        <s v="2024-01-29 23:48"/>
        <s v="2024-01-08 17:01"/>
        <s v="2024-01-14 03:54"/>
        <s v="2024-01-05 10:39"/>
        <s v="2024-02-02 19:41"/>
        <s v="2024-01-28 00:11"/>
        <s v="2024-01-05 01:51"/>
        <s v="2024-01-21 07:47"/>
        <s v="2024-01-18 06:10"/>
        <s v="2024-01-12 06:34"/>
        <s v="2024-01-24 11:09"/>
        <s v="2024-01-01 09:46"/>
        <s v="2024-01-21 01:00"/>
        <s v="2024-02-01 19:41"/>
        <s v="2024-01-08 12:54"/>
        <s v="2024-01-15 15:32"/>
        <s v="2024-01-16 20:16"/>
        <s v="2024-02-03 01:41"/>
        <s v="2024-01-28 22:32"/>
        <s v="2024-01-28 10:49"/>
        <s v="2024-02-01 00:03"/>
        <s v="2024-01-06 19:51"/>
        <s v="2024-01-12 10:17"/>
        <s v="2024-01-24 01:43"/>
        <s v="2024-01-01 17:38"/>
        <s v="2024-01-09 04:18"/>
        <s v="2024-01-07 14:14"/>
        <s v="2024-01-31 18:48"/>
        <s v="2024-01-09 19:31"/>
        <s v="2024-01-26 03:25"/>
        <s v="2024-01-05 04:59"/>
        <s v="2024-01-02 00:44"/>
        <s v="2024-02-03 20:47"/>
        <s v="2024-01-15 12:46"/>
        <s v="2024-01-19 11:09"/>
        <s v="2024-01-30 22:58"/>
        <s v="2024-01-30 03:32"/>
        <s v="2024-01-27 22:59"/>
        <s v="2024-02-04 10:29"/>
        <s v="2024-02-03 07:23"/>
        <s v="2024-01-08 22:19"/>
        <s v="2024-01-28 14:02"/>
        <s v="2024-01-06 21:00"/>
        <s v="2024-02-02 12:34"/>
        <s v="2024-01-30 12:06"/>
        <s v="2024-01-03 11:21"/>
        <s v="2024-01-04 04:13"/>
        <s v="2024-01-07 20:39"/>
        <s v="2024-01-12 07:55"/>
        <s v="2024-01-03 12:01"/>
        <s v="2024-01-06 04:57"/>
        <s v="2024-01-27 07:36"/>
        <s v="2024-01-29 00:50"/>
        <s v="2024-01-05 04:03"/>
        <s v="2024-02-03 04:30"/>
        <s v="2024-01-04 13:11"/>
        <s v="2024-01-27 18:37"/>
        <s v="2024-01-26 23:22"/>
        <s v="2024-01-02 15:08"/>
        <s v="2024-01-02 15:42"/>
        <s v="2024-01-25 08:53"/>
        <s v="2024-01-20 08:53"/>
        <s v="2024-01-30 22:08"/>
        <s v="2024-01-16 10:30"/>
        <s v="2024-01-19 15:03"/>
        <s v="2024-01-15 00:27"/>
        <s v="2024-01-31 09:28"/>
        <s v="2024-01-21 12:16"/>
        <s v="2024-01-08 08:28"/>
        <s v="2024-01-30 08:44"/>
        <s v="2024-01-08 08:06"/>
        <s v="2024-01-02 13:09"/>
        <s v="2024-01-05 02:24"/>
        <s v="2024-01-21 18:31"/>
        <s v="2024-01-22 19:14"/>
        <s v="2024-01-28 21:26"/>
        <s v="2024-01-22 12:46"/>
        <s v="2024-01-30 19:38"/>
        <s v="2024-02-04 09:26"/>
        <s v="2024-01-08 08:20"/>
        <s v="2024-01-16 17:07"/>
        <s v="2024-01-16 00:01"/>
        <s v="2024-01-16 15:09"/>
        <s v="2024-01-27 22:28"/>
        <s v="2024-01-05 10:45"/>
        <s v="2024-01-01 17:10"/>
        <s v="2024-01-25 07:22"/>
        <s v="2024-01-17 13:06"/>
        <s v="2024-02-01 02:33"/>
        <s v="2024-01-15 15:01"/>
        <s v="2024-01-16 03:36"/>
        <s v="2024-01-09 22:51"/>
        <s v="2024-01-11 04:20"/>
        <s v="2024-01-24 11:36"/>
        <s v="2024-01-14 22:39"/>
        <s v="2024-01-27 10:01"/>
        <s v="2024-02-03 11:14"/>
        <s v="2024-01-05 13:58"/>
        <s v="2024-01-05 03:30"/>
        <s v="2024-01-13 18:12"/>
        <s v="2024-01-18 11:15"/>
        <s v="2024-01-03 14:30"/>
        <s v="2024-01-13 14:52"/>
        <s v="2024-01-29 02:05"/>
        <s v="2024-01-07 13:49"/>
        <s v="2024-01-13 17:15"/>
        <s v="2024-01-06 12:59"/>
        <s v="2024-01-18 17:54"/>
        <s v="2024-01-08 05:00"/>
        <s v="2024-02-02 12:07"/>
        <s v="2024-01-08 01:15"/>
        <s v="2024-01-11 21:11"/>
        <s v="2024-01-23 18:21"/>
        <s v="2024-01-30 15:54"/>
        <s v="2024-01-08 06:48"/>
        <s v="2024-02-03 15:22"/>
        <s v="2024-02-03 02:37"/>
        <s v="2024-01-14 05:14"/>
        <s v="2024-02-02 11:54"/>
        <s v="2024-01-11 03:57"/>
        <s v="2024-01-22 12:13"/>
        <s v="2024-01-07 21:44"/>
        <s v="2024-01-14 22:32"/>
        <s v="2024-01-11 12:23"/>
        <s v="2024-01-28 13:43"/>
        <s v="2024-01-01 23:08"/>
        <s v="2024-01-26 01:04"/>
        <s v="2024-01-28 16:49"/>
        <s v="2024-01-08 05:02"/>
        <s v="2024-01-13 18:35"/>
        <s v="2024-02-03 07:08"/>
        <s v="2024-01-24 01:08"/>
        <s v="2024-01-13 06:49"/>
        <s v="2024-01-17 05:13"/>
        <s v="2024-01-30 21:55"/>
        <s v="2024-01-16 01:11"/>
        <s v="2024-01-15 12:38"/>
        <s v="2024-01-29 18:16"/>
        <s v="2024-01-09 04:24"/>
        <s v="2024-01-05 03:39"/>
        <s v="2024-01-11 18:04"/>
        <s v="2024-01-21 00:17"/>
        <s v="2024-01-09 16:56"/>
        <s v="2024-01-11 07:19"/>
        <s v="2024-01-24 11:50"/>
        <s v="2024-02-03 04:32"/>
        <s v="2024-01-19 05:49"/>
        <s v="2024-01-27 04:27"/>
        <s v="2024-01-20 18:36"/>
        <s v="2024-01-12 16:05"/>
        <s v="2024-01-23 02:32"/>
        <s v="2024-01-06 00:33"/>
        <s v="2024-01-29 10:30"/>
        <s v="2024-01-12 02:30"/>
        <s v="2024-02-02 20:06"/>
        <s v="2024-01-16 20:11"/>
        <s v="2024-01-25 15:23"/>
        <s v="2024-01-14 02:57"/>
        <s v="2024-01-24 10:58"/>
        <s v="2024-01-16 02:02"/>
        <s v="2024-02-04 09:36"/>
        <s v="2024-01-29 11:05"/>
        <s v="2024-01-27 13:44"/>
        <s v="2024-01-21 15:10"/>
        <s v="2024-01-11 06:58"/>
        <s v="2024-01-24 09:20"/>
        <s v="2024-01-10 08:47"/>
        <s v="2024-01-08 20:41"/>
        <s v="2024-01-02 00:00"/>
        <s v="2024-01-09 11:10"/>
        <s v="2024-01-18 23:50"/>
        <s v="2024-02-02 11:48"/>
        <s v="2024-01-31 08:55"/>
        <s v="2024-02-01 19:38"/>
        <s v="2024-01-07 04:42"/>
        <s v="2024-01-13 16:00"/>
        <s v="2024-01-03 08:49"/>
        <s v="2024-02-03 13:36"/>
        <s v="2024-01-12 19:24"/>
        <s v="2024-01-19 23:00"/>
        <s v="2024-01-19 01:43"/>
        <s v="2024-01-16 07:21"/>
        <s v="2024-02-01 07:19"/>
        <s v="2024-02-01 00:04"/>
        <s v="2024-01-16 10:10"/>
        <s v="2024-01-21 18:17"/>
        <s v="2024-01-27 10:15"/>
        <s v="2024-01-16 00:43"/>
        <s v="2024-01-27 05:54"/>
        <s v="2024-01-28 13:12"/>
        <s v="2024-01-05 06:21"/>
        <s v="2024-01-12 18:23"/>
        <s v="2024-01-27 14:21"/>
        <s v="2024-01-27 08:24"/>
        <s v="2024-01-15 20:57"/>
        <s v="2024-01-06 00:37"/>
        <s v="2024-01-17 02:16"/>
        <s v="2024-01-09 13:59"/>
        <s v="2024-01-06 08:42"/>
        <s v="2024-01-10 00:01"/>
        <s v="2024-01-11 16:53"/>
        <s v="2024-02-01 18:02"/>
        <s v="2024-01-16 02:41"/>
        <s v="2024-01-09 21:36"/>
        <s v="2024-01-24 03:17"/>
        <s v="2024-01-16 23:53"/>
        <s v="2024-02-03 01:42"/>
        <s v="2024-01-27 02:53"/>
        <s v="2024-01-17 08:24"/>
        <s v="2024-02-02 17:06"/>
        <s v="2024-01-13 16:01"/>
        <s v="2024-01-07 16:59"/>
        <s v="2024-01-30 09:10"/>
        <s v="2024-01-25 01:50"/>
        <s v="2024-01-08 20:19"/>
        <s v="2024-02-02 13:14"/>
        <s v="2024-01-18 19:19"/>
        <s v="2024-01-23 10:54"/>
        <s v="2024-02-02 08:22"/>
        <s v="2024-01-28 05:04"/>
        <s v="2024-01-24 07:53"/>
        <s v="2024-01-24 21:01"/>
        <s v="2024-02-03 00:42"/>
        <s v="2024-01-26 12:22"/>
        <s v="2024-01-06 03:05"/>
        <s v="2024-01-05 02:36"/>
        <s v="2024-01-31 17:45"/>
        <s v="2024-01-02 10:33"/>
        <s v="2024-01-24 04:09"/>
        <s v="2024-02-01 07:25"/>
        <s v="2024-01-06 06:28"/>
        <s v="2024-01-21 05:08"/>
        <s v="2024-02-01 03:39"/>
        <s v="2024-01-01 21:11"/>
        <s v="2024-01-31 17:18"/>
        <s v="2024-02-03 09:59"/>
        <s v="2024-01-07 19:59"/>
        <s v="2024-01-09 12:32"/>
        <s v="2024-01-11 05:26"/>
        <s v="2024-02-01 09:14"/>
        <s v="2024-01-27 17:50"/>
        <s v="2024-01-31 22:26"/>
        <s v="2024-01-11 06:50"/>
        <s v="2024-01-17 06:13"/>
        <s v="2024-01-09 14:12"/>
        <s v="2024-01-18 17:04"/>
        <s v="2024-02-03 14:22"/>
        <s v="2024-01-30 06:47"/>
        <s v="2024-01-30 22:18"/>
        <s v="2024-01-14 23:37"/>
        <s v="2024-01-21 07:37"/>
        <s v="2024-01-27 23:50"/>
        <s v="2024-01-14 19:01"/>
        <s v="2024-01-22 01:52"/>
        <s v="2024-01-29 06:21"/>
        <s v="2024-01-08 16:22"/>
        <s v="2024-01-25 01:46"/>
        <s v="2024-01-03 05:10"/>
        <s v="2024-01-19 10:52"/>
        <s v="2024-01-16 16:47"/>
        <s v="2024-01-17 02:17"/>
        <s v="2024-01-19 04:49"/>
        <s v="2024-02-04 10:53"/>
        <s v="2024-01-09 22:07"/>
        <s v="2024-01-12 14:40"/>
        <s v="2024-01-06 08:00"/>
        <s v="2024-01-11 18:32"/>
        <s v="2024-01-11 22:16"/>
        <s v="2024-02-04 12:12"/>
        <s v="2024-01-23 07:48"/>
        <s v="2024-01-21 04:08"/>
        <s v="2024-01-20 19:05"/>
        <s v="2024-02-02 17:09"/>
        <s v="2024-01-16 02:19"/>
        <s v="2024-01-19 15:11"/>
        <s v="2024-01-08 23:49"/>
        <s v="2024-01-14 17:05"/>
        <s v="2024-01-30 00:22"/>
        <s v="2024-01-11 05:55"/>
        <s v="2024-01-06 21:35"/>
        <s v="2024-01-08 18:12"/>
        <s v="2024-01-08 13:42"/>
        <s v="2024-01-15 00:47"/>
        <s v="2024-01-18 18:50"/>
        <s v="2024-01-17 06:30"/>
        <s v="2024-01-26 18:01"/>
        <s v="2024-01-26 09:20"/>
        <s v="2024-01-15 15:53"/>
        <s v="2024-01-11 18:11"/>
        <s v="2024-01-22 18:10"/>
        <s v="2024-01-15 03:52"/>
        <s v="2024-01-03 18:33"/>
        <s v="2024-01-06 00:20"/>
        <s v="2024-01-17 16:21"/>
        <s v="2024-01-09 02:05"/>
        <s v="2024-01-07 11:56"/>
        <s v="2024-01-18 12:04"/>
        <s v="2024-01-18 11:48"/>
        <s v="2024-01-24 07:58"/>
        <s v="2024-01-01 18:02"/>
        <s v="2024-01-11 03:26"/>
        <s v="2024-01-06 13:13"/>
        <s v="2024-01-21 08:09"/>
        <s v="2024-01-31 17:48"/>
        <s v="2024-01-14 09:56"/>
        <s v="2024-01-03 13:51"/>
        <s v="2024-01-02 23:21"/>
        <s v="2024-01-12 01:23"/>
        <s v="2024-01-03 17:01"/>
        <s v="2024-01-29 06:04"/>
        <s v="2024-01-15 13:11"/>
        <s v="2024-01-09 13:24"/>
        <s v="2024-02-03 23:17"/>
        <s v="2024-01-08 11:04"/>
        <s v="2024-01-22 07:09"/>
        <s v="2024-01-04 00:51"/>
        <s v="2024-02-03 23:32"/>
        <s v="2024-01-05 06:28"/>
        <s v="2024-01-16 23:57"/>
        <s v="2024-01-09 14:24"/>
        <s v="2024-01-03 07:35"/>
        <s v="2024-01-02 20:08"/>
        <s v="2024-01-22 19:55"/>
        <s v="2024-01-02 00:49"/>
        <s v="2024-02-04 16:04"/>
        <s v="2024-01-22 02:08"/>
        <s v="2024-01-05 02:54"/>
        <s v="2024-01-27 12:07"/>
        <s v="2024-02-01 11:23"/>
        <s v="2024-01-08 06:45"/>
        <s v="2024-01-07 23:43"/>
        <s v="2024-01-11 04:57"/>
        <s v="2024-01-07 21:59"/>
        <s v="2024-02-04 11:24"/>
        <s v="2024-01-27 01:55"/>
        <s v="2024-01-30 07:39"/>
        <s v="2024-01-19 14:29"/>
        <s v="2024-01-30 17:34"/>
        <s v="2024-01-24 09:43"/>
        <s v="2024-01-13 00:19"/>
        <s v="2024-01-25 11:04"/>
        <s v="2024-01-20 07:48"/>
        <s v="2024-01-19 21:57"/>
        <s v="2024-01-26 12:32"/>
        <s v="2024-01-22 14:43"/>
        <s v="2024-01-18 19:16"/>
        <s v="2024-01-05 22:29"/>
        <s v="2024-01-20 16:08"/>
        <s v="2024-01-23 02:53"/>
        <s v="2024-01-18 09:44"/>
        <s v="2024-01-15 18:02"/>
        <s v="2024-01-16 11:10"/>
        <s v="2024-01-27 14:30"/>
        <s v="2024-02-01 23:36"/>
        <s v="2024-02-02 03:56"/>
        <s v="2024-01-03 21:10"/>
        <s v="2024-01-04 18:26"/>
        <s v="2024-01-01 09:20"/>
        <s v="2024-01-21 06:31"/>
        <s v="2024-01-05 11:08"/>
        <s v="2024-01-12 01:15"/>
        <s v="2024-01-21 20:04"/>
        <s v="2024-01-17 23:11"/>
      </sharedItems>
    </cacheField>
    <cacheField name="Event_Type" numFmtId="0">
      <sharedItems/>
    </cacheField>
    <cacheField name="Product_ID" numFmtId="0">
      <sharedItems/>
    </cacheField>
    <cacheField name="Category" numFmtId="0">
      <sharedItems count="5">
        <s v="Electronics"/>
        <s v="Home"/>
        <s v="Fashion"/>
        <s v="Grocery"/>
        <s v="Books"/>
      </sharedItems>
    </cacheField>
    <cacheField name="Device_Type" numFmtId="0">
      <sharedItems count="3">
        <s v="Tablet"/>
        <s v="Mobile"/>
        <s v="Desktop"/>
      </sharedItems>
    </cacheField>
    <cacheField name="City" numFmtId="0">
      <sharedItems count="5">
        <s v="Mumbai"/>
        <s v="Hyderabad"/>
        <s v="Bangalore"/>
        <s v="Delhi"/>
        <s v="Pune"/>
      </sharedItems>
    </cacheField>
    <cacheField name="Revenue" numFmtId="0">
      <sharedItems containsSemiMixedTypes="0" containsString="0" containsNumber="1" containsInteger="1" minValue="0" maxValue="4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dmin" refreshedDate="46036.547961921293" createdVersion="6" refreshedVersion="6" minRefreshableVersion="3" recordCount="1000">
  <cacheSource type="worksheet">
    <worksheetSource ref="A1:K1001" sheet="BigData_Ecommerce_Clickstream"/>
  </cacheSource>
  <cacheFields count="11">
    <cacheField name="User_ID" numFmtId="0">
      <sharedItems/>
    </cacheField>
    <cacheField name="Session_ID" numFmtId="0">
      <sharedItems count="943">
        <s v="S3212"/>
        <s v="S9781"/>
        <s v="S6430"/>
        <s v="S1744"/>
        <s v="S9036"/>
        <s v="S6723"/>
        <s v="S9814"/>
        <s v="S1209"/>
        <s v="S8094"/>
        <s v="S1513"/>
        <s v="S8365"/>
        <s v="S7088"/>
        <s v="S3801"/>
        <s v="S4899"/>
        <s v="S3352"/>
        <s v="S8643"/>
        <s v="S1297"/>
        <s v="S7682"/>
        <s v="S9301"/>
        <s v="S4789"/>
        <s v="S7506"/>
        <s v="S7330"/>
        <s v="S6068"/>
        <s v="S2693"/>
        <s v="S2673"/>
        <s v="S4111"/>
        <s v="S3058"/>
        <s v="S9631"/>
        <s v="S6631"/>
        <s v="S3967"/>
        <s v="S3980"/>
        <s v="S5737"/>
        <s v="S7388"/>
        <s v="S3794"/>
        <s v="S6943"/>
        <s v="S6777"/>
        <s v="S1923"/>
        <s v="S9605"/>
        <s v="S8682"/>
        <s v="S6152"/>
        <s v="S4777"/>
        <s v="S4278"/>
        <s v="S6324"/>
        <s v="S5545"/>
        <s v="S6238"/>
        <s v="S5310"/>
        <s v="S8867"/>
        <s v="S6449"/>
        <s v="S2054"/>
        <s v="S6693"/>
        <s v="S2116"/>
        <s v="S9187"/>
        <s v="S2014"/>
        <s v="S6017"/>
        <s v="S6428"/>
        <s v="S4680"/>
        <s v="S5654"/>
        <s v="S4273"/>
        <s v="S2908"/>
        <s v="S7131"/>
        <s v="S4754"/>
        <s v="S9903"/>
        <s v="S9200"/>
        <s v="S9211"/>
        <s v="S4317"/>
        <s v="S2610"/>
        <s v="S4069"/>
        <s v="S7993"/>
        <s v="S5801"/>
        <s v="S3965"/>
        <s v="S3336"/>
        <s v="S4892"/>
        <s v="S7637"/>
        <s v="S8184"/>
        <s v="S8608"/>
        <s v="S1595"/>
        <s v="S6780"/>
        <s v="S1244"/>
        <s v="S9134"/>
        <s v="S6593"/>
        <s v="S8161"/>
        <s v="S4222"/>
        <s v="S8113"/>
        <s v="S7486"/>
        <s v="S5640"/>
        <s v="S1710"/>
        <s v="S8370"/>
        <s v="S6695"/>
        <s v="S6922"/>
        <s v="S2465"/>
        <s v="S3259"/>
        <s v="S5079"/>
        <s v="S2607"/>
        <s v="S5944"/>
        <s v="S1961"/>
        <s v="S2581"/>
        <s v="S7462"/>
        <s v="S2738"/>
        <s v="S2323"/>
        <s v="S5539"/>
        <s v="S1518"/>
        <s v="S3298"/>
        <s v="S7127"/>
        <s v="S1305"/>
        <s v="S3078"/>
        <s v="S5089"/>
        <s v="S7096"/>
        <s v="S5471"/>
        <s v="S7109"/>
        <s v="S9843"/>
        <s v="S9870"/>
        <s v="S1158"/>
        <s v="S2737"/>
        <s v="S5885"/>
        <s v="S2992"/>
        <s v="S7401"/>
        <s v="S9121"/>
        <s v="S4349"/>
        <s v="S9008"/>
        <s v="S8121"/>
        <s v="S4937"/>
        <s v="S3189"/>
        <s v="S1366"/>
        <s v="S7817"/>
        <s v="S4957"/>
        <s v="S1580"/>
        <s v="S3918"/>
        <s v="S9481"/>
        <s v="S5617"/>
        <s v="S9464"/>
        <s v="S1300"/>
        <s v="S5764"/>
        <s v="S6393"/>
        <s v="S6385"/>
        <s v="S2900"/>
        <s v="S7609"/>
        <s v="S8138"/>
        <s v="S1571"/>
        <s v="S2631"/>
        <s v="S2528"/>
        <s v="S4959"/>
        <s v="S8450"/>
        <s v="S9105"/>
        <s v="S7699"/>
        <s v="S7598"/>
        <s v="S7146"/>
        <s v="S1824"/>
        <s v="S7800"/>
        <s v="S4130"/>
        <s v="S7235"/>
        <s v="S7163"/>
        <s v="S1373"/>
        <s v="S6175"/>
        <s v="S9124"/>
        <s v="S8935"/>
        <s v="S6354"/>
        <s v="S6845"/>
        <s v="S5104"/>
        <s v="S3250"/>
        <s v="S6816"/>
        <s v="S8246"/>
        <s v="S4185"/>
        <s v="S3040"/>
        <s v="S9964"/>
        <s v="S9104"/>
        <s v="S7205"/>
        <s v="S8454"/>
        <s v="S5872"/>
        <s v="S9906"/>
        <s v="S2516"/>
        <s v="S6308"/>
        <s v="S5987"/>
        <s v="S3144"/>
        <s v="S1438"/>
        <s v="S5274"/>
        <s v="S8064"/>
        <s v="S8956"/>
        <s v="S5598"/>
        <s v="S9178"/>
        <s v="S2152"/>
        <s v="S5959"/>
        <s v="S4827"/>
        <s v="S3973"/>
        <s v="S4816"/>
        <s v="S5666"/>
        <s v="S1855"/>
        <s v="S1903"/>
        <s v="S2196"/>
        <s v="S9101"/>
        <s v="S9236"/>
        <s v="S5252"/>
        <s v="S6046"/>
        <s v="S9812"/>
        <s v="S5290"/>
        <s v="S1654"/>
        <s v="S6660"/>
        <s v="S7201"/>
        <s v="S7397"/>
        <s v="S8722"/>
        <s v="S3982"/>
        <s v="S1292"/>
        <s v="S1263"/>
        <s v="S8494"/>
        <s v="S5900"/>
        <s v="S1991"/>
        <s v="S2107"/>
        <s v="S8475"/>
        <s v="S2916"/>
        <s v="S5584"/>
        <s v="S9485"/>
        <s v="S8339"/>
        <s v="S4945"/>
        <s v="S4594"/>
        <s v="S8844"/>
        <s v="S7968"/>
        <s v="S7546"/>
        <s v="S2021"/>
        <s v="S8938"/>
        <s v="S3346"/>
        <s v="S9614"/>
        <s v="S3559"/>
        <s v="S1849"/>
        <s v="S4073"/>
        <s v="S9746"/>
        <s v="S6708"/>
        <s v="S2200"/>
        <s v="S3089"/>
        <s v="S3209"/>
        <s v="S6487"/>
        <s v="S1160"/>
        <s v="S7556"/>
        <s v="S7645"/>
        <s v="S7118"/>
        <s v="S7444"/>
        <s v="S9591"/>
        <s v="S9172"/>
        <s v="S6814"/>
        <s v="S7963"/>
        <s v="S9883"/>
        <s v="S8352"/>
        <s v="S9084"/>
        <s v="S1312"/>
        <s v="S9169"/>
        <s v="S1264"/>
        <s v="S4072"/>
        <s v="S7036"/>
        <s v="S5709"/>
        <s v="S1700"/>
        <s v="S8433"/>
        <s v="S9237"/>
        <s v="S9657"/>
        <s v="S6836"/>
        <s v="S8480"/>
        <s v="S4854"/>
        <s v="S5695"/>
        <s v="S9453"/>
        <s v="S4613"/>
        <s v="S9108"/>
        <s v="S6159"/>
        <s v="S5359"/>
        <s v="S3396"/>
        <s v="S6413"/>
        <s v="S4040"/>
        <s v="S1687"/>
        <s v="S6851"/>
        <s v="S4057"/>
        <s v="S6512"/>
        <s v="S1012"/>
        <s v="S7194"/>
        <s v="S7249"/>
        <s v="S4101"/>
        <s v="S5667"/>
        <s v="S6338"/>
        <s v="S9276"/>
        <s v="S2347"/>
        <s v="S2244"/>
        <s v="S9262"/>
        <s v="S9390"/>
        <s v="S3037"/>
        <s v="S4428"/>
        <s v="S1360"/>
        <s v="S6602"/>
        <s v="S5494"/>
        <s v="S7043"/>
        <s v="S6319"/>
        <s v="S2658"/>
        <s v="S2090"/>
        <s v="S9856"/>
        <s v="S1493"/>
        <s v="S8469"/>
        <s v="S7093"/>
        <s v="S5542"/>
        <s v="S9132"/>
        <s v="S6626"/>
        <s v="S2724"/>
        <s v="S3711"/>
        <s v="S7652"/>
        <s v="S9245"/>
        <s v="S6088"/>
        <s v="S6527"/>
        <s v="S5916"/>
        <s v="S4326"/>
        <s v="S1653"/>
        <s v="S1462"/>
        <s v="S8966"/>
        <s v="S8510"/>
        <s v="S9180"/>
        <s v="S9409"/>
        <s v="S4896"/>
        <s v="S9516"/>
        <s v="S6852"/>
        <s v="S3581"/>
        <s v="S4620"/>
        <s v="S9312"/>
        <s v="S4817"/>
        <s v="S9577"/>
        <s v="S2741"/>
        <s v="S3085"/>
        <s v="S3600"/>
        <s v="S8126"/>
        <s v="S1301"/>
        <s v="S6480"/>
        <s v="S5965"/>
        <s v="S1635"/>
        <s v="S7268"/>
        <s v="S7374"/>
        <s v="S9783"/>
        <s v="S2726"/>
        <s v="S7215"/>
        <s v="S8532"/>
        <s v="S1294"/>
        <s v="S7815"/>
        <s v="S5743"/>
        <s v="S2956"/>
        <s v="S4902"/>
        <s v="S8536"/>
        <s v="S5744"/>
        <s v="S8944"/>
        <s v="S8024"/>
        <s v="S2094"/>
        <s v="S3345"/>
        <s v="S3962"/>
        <s v="S3991"/>
        <s v="S9061"/>
        <s v="S2791"/>
        <s v="S7025"/>
        <s v="S3643"/>
        <s v="S9907"/>
        <s v="S7313"/>
        <s v="S1187"/>
        <s v="S7631"/>
        <s v="S9079"/>
        <s v="S9602"/>
        <s v="S5559"/>
        <s v="S7902"/>
        <s v="S9111"/>
        <s v="S5550"/>
        <s v="S2792"/>
        <s v="S6783"/>
        <s v="S9066"/>
        <s v="S3020"/>
        <s v="S5815"/>
        <s v="S3842"/>
        <s v="S2672"/>
        <s v="S6495"/>
        <s v="S3579"/>
        <s v="S7222"/>
        <s v="S6561"/>
        <s v="S4621"/>
        <s v="S2084"/>
        <s v="S5995"/>
        <s v="S2463"/>
        <s v="S8412"/>
        <s v="S8955"/>
        <s v="S9144"/>
        <s v="S1507"/>
        <s v="S5417"/>
        <s v="S1206"/>
        <s v="S6608"/>
        <s v="S8135"/>
        <s v="S6387"/>
        <s v="S8932"/>
        <s v="S4685"/>
        <s v="S7353"/>
        <s v="S7589"/>
        <s v="S1637"/>
        <s v="S8302"/>
        <s v="S2310"/>
        <s v="S6131"/>
        <s v="S1887"/>
        <s v="S6564"/>
        <s v="S8650"/>
        <s v="S9507"/>
        <s v="S4856"/>
        <s v="S2495"/>
        <s v="S5184"/>
        <s v="S6352"/>
        <s v="S4527"/>
        <s v="S1963"/>
        <s v="S5386"/>
        <s v="S2416"/>
        <s v="S7900"/>
        <s v="S9736"/>
        <s v="S7723"/>
        <s v="S9919"/>
        <s v="S8609"/>
        <s v="S1111"/>
        <s v="S1422"/>
        <s v="S6479"/>
        <s v="S8780"/>
        <s v="S4919"/>
        <s v="S1425"/>
        <s v="S4022"/>
        <s v="S2920"/>
        <s v="S7574"/>
        <s v="S5877"/>
        <s v="S5247"/>
        <s v="S7430"/>
        <s v="S8684"/>
        <s v="S1359"/>
        <s v="S8136"/>
        <s v="S5505"/>
        <s v="S7505"/>
        <s v="S8838"/>
        <s v="S9368"/>
        <s v="S8718"/>
        <s v="S9407"/>
        <s v="S5116"/>
        <s v="S2119"/>
        <s v="S7357"/>
        <s v="S5000"/>
        <s v="S4279"/>
        <s v="S9048"/>
        <s v="S4331"/>
        <s v="S2688"/>
        <s v="S1047"/>
        <s v="S4180"/>
        <s v="S8995"/>
        <s v="S6163"/>
        <s v="S8748"/>
        <s v="S4164"/>
        <s v="S6549"/>
        <s v="S7226"/>
        <s v="S4845"/>
        <s v="S2227"/>
        <s v="S7394"/>
        <s v="S7338"/>
        <s v="S7632"/>
        <s v="S5316"/>
        <s v="S3864"/>
        <s v="S2580"/>
        <s v="S9317"/>
        <s v="S6759"/>
        <s v="S1180"/>
        <s v="S1732"/>
        <s v="S9560"/>
        <s v="S7305"/>
        <s v="S7497"/>
        <s v="S7782"/>
        <s v="S9418"/>
        <s v="S3978"/>
        <s v="S3167"/>
        <s v="S5960"/>
        <s v="S6935"/>
        <s v="S2238"/>
        <s v="S6665"/>
        <s v="S8952"/>
        <s v="S6457"/>
        <s v="S9340"/>
        <s v="S4079"/>
        <s v="S5949"/>
        <s v="S6228"/>
        <s v="S5180"/>
        <s v="S8997"/>
        <s v="S1823"/>
        <s v="S4844"/>
        <s v="S9794"/>
        <s v="S1930"/>
        <s v="S8964"/>
        <s v="S2039"/>
        <s v="S1813"/>
        <s v="S2266"/>
        <s v="S1958"/>
        <s v="S1125"/>
        <s v="S9537"/>
        <s v="S6794"/>
        <s v="S5936"/>
        <s v="S4002"/>
        <s v="S4500"/>
        <s v="S2475"/>
        <s v="S5770"/>
        <s v="S1207"/>
        <s v="S7688"/>
        <s v="S4154"/>
        <s v="S1268"/>
        <s v="S2322"/>
        <s v="S4530"/>
        <s v="S8337"/>
        <s v="S4452"/>
        <s v="S3393"/>
        <s v="S5879"/>
        <s v="S1358"/>
        <s v="S8563"/>
        <s v="S9140"/>
        <s v="S2614"/>
        <s v="S9958"/>
        <s v="S2687"/>
        <s v="S6314"/>
        <s v="S4193"/>
        <s v="S5230"/>
        <s v="S5536"/>
        <s v="S8114"/>
        <s v="S8957"/>
        <s v="S8877"/>
        <s v="S2372"/>
        <s v="S7400"/>
        <s v="S2707"/>
        <s v="S3497"/>
        <s v="S4256"/>
        <s v="S5691"/>
        <s v="S1503"/>
        <s v="S8523"/>
        <s v="S8737"/>
        <s v="S8151"/>
        <s v="S6348"/>
        <s v="S1185"/>
        <s v="S9313"/>
        <s v="S1014"/>
        <s v="S6828"/>
        <s v="S5732"/>
        <s v="S2963"/>
        <s v="S5587"/>
        <s v="S8277"/>
        <s v="S3156"/>
        <s v="S2973"/>
        <s v="S9251"/>
        <s v="S9286"/>
        <s v="S5712"/>
        <s v="S1645"/>
        <s v="S7515"/>
        <s v="S8308"/>
        <s v="S7203"/>
        <s v="S6609"/>
        <s v="S1371"/>
        <s v="S2149"/>
        <s v="S9716"/>
        <s v="S8266"/>
        <s v="S2384"/>
        <s v="S4850"/>
        <s v="S1133"/>
        <s v="S6830"/>
        <s v="S3327"/>
        <s v="S5914"/>
        <s v="S1069"/>
        <s v="S4440"/>
        <s v="S2317"/>
        <s v="S9626"/>
        <s v="S6259"/>
        <s v="S8118"/>
        <s v="S5345"/>
        <s v="S4492"/>
        <s v="S5080"/>
        <s v="S2769"/>
        <s v="S6427"/>
        <s v="S7182"/>
        <s v="S5599"/>
        <s v="S8089"/>
        <s v="S3524"/>
        <s v="S7067"/>
        <s v="S7225"/>
        <s v="S8613"/>
        <s v="S5983"/>
        <s v="S3241"/>
        <s v="S9557"/>
        <s v="S9954"/>
        <s v="S6598"/>
        <s v="S8320"/>
        <s v="S4028"/>
        <s v="S5392"/>
        <s v="S2378"/>
        <s v="S2185"/>
        <s v="S5981"/>
        <s v="S5354"/>
        <s v="S1956"/>
        <s v="S5401"/>
        <s v="S3876"/>
        <s v="S4436"/>
        <s v="S8764"/>
        <s v="S6249"/>
        <s v="S2703"/>
        <s v="S3602"/>
        <s v="S2820"/>
        <s v="S9210"/>
        <s v="S3793"/>
        <s v="S7588"/>
        <s v="S4772"/>
        <s v="S6725"/>
        <s v="S8561"/>
        <s v="S4020"/>
        <s v="S7925"/>
        <s v="S3943"/>
        <s v="S2406"/>
        <s v="S9500"/>
        <s v="S7929"/>
        <s v="S3836"/>
        <s v="S3725"/>
        <s v="S5798"/>
        <s v="S2302"/>
        <s v="S9539"/>
        <s v="S5215"/>
        <s v="S7977"/>
        <s v="S4419"/>
        <s v="S9525"/>
        <s v="S5937"/>
        <s v="S9405"/>
        <s v="S5608"/>
        <s v="S9992"/>
        <s v="S8301"/>
        <s v="S3827"/>
        <s v="S4562"/>
        <s v="S8153"/>
        <s v="S6081"/>
        <s v="S3289"/>
        <s v="S9897"/>
        <s v="S5453"/>
        <s v="S1606"/>
        <s v="S5528"/>
        <s v="S2558"/>
        <s v="S2747"/>
        <s v="S1893"/>
        <s v="S8665"/>
        <s v="S1685"/>
        <s v="S6323"/>
        <s v="S4873"/>
        <s v="S6505"/>
        <s v="S3641"/>
        <s v="S8073"/>
        <s v="S3183"/>
        <s v="S8773"/>
        <s v="S2927"/>
        <s v="S3011"/>
        <s v="S3521"/>
        <s v="S7750"/>
        <s v="S2239"/>
        <s v="S8022"/>
        <s v="S6614"/>
        <s v="S2426"/>
        <s v="S7790"/>
        <s v="S8505"/>
        <s v="S8036"/>
        <s v="S8743"/>
        <s v="S5188"/>
        <s v="S5424"/>
        <s v="S6799"/>
        <s v="S1477"/>
        <s v="S6419"/>
        <s v="S1733"/>
        <s v="S2224"/>
        <s v="S1470"/>
        <s v="S3018"/>
        <s v="S1230"/>
        <s v="S8179"/>
        <s v="S7804"/>
        <s v="S5225"/>
        <s v="S3527"/>
        <s v="S3939"/>
        <s v="S8340"/>
        <s v="S1411"/>
        <s v="S4169"/>
        <s v="S2554"/>
        <s v="S9213"/>
        <s v="S6694"/>
        <s v="S3256"/>
        <s v="S8456"/>
        <s v="S5431"/>
        <s v="S9569"/>
        <s v="S4913"/>
        <s v="S3745"/>
        <s v="S4770"/>
        <s v="S7262"/>
        <s v="S8742"/>
        <s v="S9866"/>
        <s v="S5527"/>
        <s v="S1954"/>
        <s v="S4840"/>
        <s v="S2934"/>
        <s v="S2073"/>
        <s v="S6098"/>
        <s v="S8861"/>
        <s v="S1229"/>
        <s v="S8778"/>
        <s v="S3927"/>
        <s v="S1063"/>
        <s v="S4668"/>
        <s v="S6423"/>
        <s v="S5827"/>
        <s v="S6180"/>
        <s v="S8016"/>
        <s v="S7130"/>
        <s v="S5197"/>
        <s v="S4747"/>
        <s v="S7893"/>
        <s v="S9959"/>
        <s v="S6841"/>
        <s v="S3789"/>
        <s v="S4895"/>
        <s v="S4517"/>
        <s v="S1255"/>
        <s v="S9721"/>
        <s v="S2976"/>
        <s v="S2036"/>
        <s v="S8812"/>
        <s v="S1828"/>
        <s v="S4906"/>
        <s v="S8127"/>
        <s v="S6128"/>
        <s v="S9617"/>
        <s v="S2353"/>
        <s v="S7961"/>
        <s v="S1790"/>
        <s v="S8886"/>
        <s v="S8353"/>
        <s v="S7731"/>
        <s v="S1007"/>
        <s v="S9691"/>
        <s v="S4984"/>
        <s v="S8228"/>
        <s v="S4658"/>
        <s v="S7085"/>
        <s v="S6043"/>
        <s v="S5309"/>
        <s v="S3533"/>
        <s v="S7008"/>
        <s v="S3608"/>
        <s v="S4870"/>
        <s v="S1020"/>
        <s v="S9772"/>
        <s v="S6978"/>
        <s v="S6855"/>
        <s v="S4042"/>
        <s v="S3132"/>
        <s v="S6632"/>
        <s v="S2181"/>
        <s v="S7777"/>
        <s v="S2972"/>
        <s v="S5319"/>
        <s v="S9098"/>
        <s v="S4549"/>
        <s v="S2880"/>
        <s v="S9770"/>
        <s v="S9939"/>
        <s v="S9905"/>
        <s v="S7219"/>
        <s v="S1409"/>
        <s v="S6243"/>
        <s v="S3697"/>
        <s v="S3959"/>
        <s v="S1127"/>
        <s v="S6438"/>
        <s v="S8042"/>
        <s v="S3041"/>
        <s v="S3782"/>
        <s v="S7994"/>
        <s v="S4623"/>
        <s v="S7500"/>
        <s v="S7153"/>
        <s v="S3891"/>
        <s v="S6890"/>
        <s v="S3639"/>
        <s v="S9831"/>
        <s v="S2732"/>
        <s v="S7363"/>
        <s v="S9931"/>
        <s v="S4484"/>
        <s v="S5312"/>
        <s v="S8687"/>
        <s v="S2809"/>
        <s v="S2509"/>
        <s v="S3871"/>
        <s v="S1566"/>
        <s v="S2083"/>
        <s v="S2620"/>
        <s v="S1051"/>
        <s v="S5286"/>
        <s v="S4805"/>
        <s v="S1018"/>
        <s v="S6195"/>
        <s v="S6765"/>
        <s v="S8120"/>
        <s v="S8303"/>
        <s v="S5669"/>
        <s v="S9653"/>
        <s v="S3656"/>
        <s v="S9484"/>
        <s v="S6940"/>
        <s v="S9333"/>
        <s v="S6125"/>
        <s v="S5375"/>
        <s v="S9864"/>
        <s v="S1721"/>
        <s v="S3935"/>
        <s v="S6992"/>
        <s v="S6424"/>
        <s v="S2545"/>
        <s v="S7158"/>
        <s v="S9374"/>
        <s v="S6113"/>
        <s v="S5553"/>
        <s v="S8659"/>
        <s v="S1919"/>
        <s v="S1134"/>
        <s v="S6294"/>
        <s v="S9436"/>
        <s v="S7041"/>
        <s v="S6359"/>
        <s v="S2337"/>
        <s v="S6036"/>
        <s v="S8497"/>
        <s v="S7212"/>
        <s v="S2899"/>
        <s v="S5470"/>
        <s v="S8727"/>
        <s v="S9757"/>
        <s v="S5412"/>
        <s v="S6526"/>
        <s v="S1739"/>
        <s v="S7472"/>
        <s v="S2418"/>
        <s v="S4551"/>
        <s v="S4075"/>
        <s v="S7964"/>
        <s v="S4327"/>
        <s v="S1701"/>
        <s v="S1347"/>
        <s v="S9815"/>
        <s v="S4898"/>
        <s v="S5974"/>
        <s v="S6499"/>
        <s v="S3049"/>
        <s v="S3644"/>
        <s v="S5717"/>
        <s v="S5946"/>
        <s v="S4699"/>
        <s v="S2118"/>
        <s v="S4081"/>
        <s v="S7714"/>
        <s v="S9936"/>
        <s v="S4334"/>
        <s v="S7454"/>
        <s v="S6920"/>
        <s v="S5624"/>
        <s v="S4625"/>
        <s v="S5721"/>
        <s v="S8554"/>
        <s v="S8491"/>
        <s v="S3364"/>
        <s v="S6401"/>
        <s v="S4469"/>
        <s v="S4204"/>
        <s v="S3061"/>
        <s v="S9196"/>
        <s v="S8914"/>
        <s v="S9179"/>
        <s v="S3019"/>
        <s v="S5938"/>
        <s v="S7746"/>
        <s v="S8243"/>
        <s v="S6645"/>
        <s v="S4137"/>
        <s v="S5719"/>
        <s v="S7179"/>
        <s v="S3627"/>
        <s v="S8548"/>
        <s v="S1851"/>
        <s v="S6501"/>
        <s v="S7213"/>
        <s v="S9032"/>
        <s v="S1906"/>
        <s v="S6086"/>
        <s v="S7278"/>
        <s v="S6931"/>
        <s v="S4573"/>
        <s v="S3806"/>
        <s v="S8030"/>
        <s v="S8061"/>
        <s v="S4583"/>
        <s v="S6025"/>
        <s v="S3474"/>
        <s v="S8832"/>
        <s v="S2801"/>
        <s v="S6437"/>
        <s v="S5612"/>
        <s v="S6947"/>
        <s v="S5495"/>
        <s v="S9852"/>
        <s v="S2819"/>
        <s v="S9660"/>
        <s v="S3865"/>
        <s v="S6706"/>
        <s v="S6431"/>
        <s v="S6509"/>
        <s v="S6124"/>
        <s v="S3977"/>
        <s v="S7751"/>
        <s v="S6091"/>
        <s v="S1755"/>
        <s v="S4709"/>
        <s v="S3799"/>
        <s v="S3760"/>
        <s v="S1314"/>
        <s v="S3800"/>
        <s v="S2991"/>
        <s v="S6594"/>
        <s v="S5441"/>
        <s v="S7689"/>
        <s v="S2086"/>
        <s v="S6533"/>
        <s v="S7635"/>
        <s v="S3713"/>
        <s v="S6250"/>
        <s v="S5567"/>
        <s v="S7573"/>
        <s v="S4463"/>
        <s v="S6224"/>
        <s v="S2178"/>
        <s v="S9247"/>
        <s v="S2376"/>
        <s v="S4432"/>
        <s v="S7496"/>
        <s v="S4447"/>
        <s v="S3681"/>
        <s v="S7664"/>
        <s v="S9615"/>
        <s v="S3313"/>
        <s v="S6742"/>
        <s v="S6911"/>
        <s v="S1604"/>
        <s v="S1775"/>
        <s v="S3588"/>
        <s v="S2069"/>
        <s v="S7610"/>
        <s v="S8233"/>
        <s v="S6476"/>
      </sharedItems>
    </cacheField>
    <cacheField name="Event_Time" numFmtId="0">
      <sharedItems/>
    </cacheField>
    <cacheField name="Event_Type" numFmtId="0">
      <sharedItems count="3">
        <s v="Add_to_Cart"/>
        <s v="View"/>
        <s v="Purchase"/>
      </sharedItems>
    </cacheField>
    <cacheField name="Product_ID" numFmtId="0">
      <sharedItems/>
    </cacheField>
    <cacheField name="Category" numFmtId="0">
      <sharedItems count="5">
        <s v="Electronics"/>
        <s v="Home"/>
        <s v="Fashion"/>
        <s v="Grocery"/>
        <s v="Books"/>
      </sharedItems>
    </cacheField>
    <cacheField name="Device_Type" numFmtId="0">
      <sharedItems/>
    </cacheField>
    <cacheField name="City" numFmtId="0">
      <sharedItems count="5">
        <s v="Mumbai"/>
        <s v="Hyderabad"/>
        <s v="Bangalore"/>
        <s v="Delhi"/>
        <s v="Pune"/>
      </sharedItems>
    </cacheField>
    <cacheField name="Revenue" numFmtId="0">
      <sharedItems containsSemiMixedTypes="0" containsString="0" containsNumber="1" containsInteger="1" minValue="0" maxValue="4997"/>
    </cacheField>
    <cacheField name="Date" numFmtId="14">
      <sharedItems containsSemiMixedTypes="0" containsNonDate="0" containsDate="1" containsString="0" minDate="2024-01-01T00:00:00" maxDate="2024-02-05T00:00:00"/>
    </cacheField>
    <cacheField name="Month" numFmtId="0">
      <sharedItems containsSemiMixedTypes="0" containsString="0" containsNumber="1" containsInteger="1" minValue="1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s v="U641"/>
    <s v="S3212"/>
    <x v="0"/>
    <s v="Add_to_Cart"/>
    <s v="P183"/>
    <x v="0"/>
    <x v="0"/>
    <x v="0"/>
    <n v="0"/>
  </r>
  <r>
    <s v="U886"/>
    <s v="S9781"/>
    <x v="1"/>
    <s v="View"/>
    <s v="P718"/>
    <x v="1"/>
    <x v="1"/>
    <x v="1"/>
    <n v="0"/>
  </r>
  <r>
    <s v="U552"/>
    <s v="S6430"/>
    <x v="2"/>
    <s v="Add_to_Cart"/>
    <s v="P628"/>
    <x v="2"/>
    <x v="0"/>
    <x v="2"/>
    <n v="0"/>
  </r>
  <r>
    <s v="U107"/>
    <s v="S1744"/>
    <x v="3"/>
    <s v="Add_to_Cart"/>
    <s v="P937"/>
    <x v="0"/>
    <x v="2"/>
    <x v="0"/>
    <n v="0"/>
  </r>
  <r>
    <s v="U639"/>
    <s v="S9036"/>
    <x v="4"/>
    <s v="View"/>
    <s v="P794"/>
    <x v="3"/>
    <x v="2"/>
    <x v="3"/>
    <n v="0"/>
  </r>
  <r>
    <s v="U282"/>
    <s v="S6723"/>
    <x v="5"/>
    <s v="Purchase"/>
    <s v="P790"/>
    <x v="2"/>
    <x v="0"/>
    <x v="1"/>
    <n v="1377"/>
  </r>
  <r>
    <s v="U683"/>
    <s v="S9814"/>
    <x v="6"/>
    <s v="View"/>
    <s v="P356"/>
    <x v="2"/>
    <x v="2"/>
    <x v="2"/>
    <n v="0"/>
  </r>
  <r>
    <s v="U369"/>
    <s v="S1209"/>
    <x v="7"/>
    <s v="View"/>
    <s v="P154"/>
    <x v="1"/>
    <x v="1"/>
    <x v="4"/>
    <n v="0"/>
  </r>
  <r>
    <s v="U424"/>
    <s v="S8094"/>
    <x v="8"/>
    <s v="Add_to_Cart"/>
    <s v="P771"/>
    <x v="1"/>
    <x v="2"/>
    <x v="1"/>
    <n v="0"/>
  </r>
  <r>
    <s v="U369"/>
    <s v="S1513"/>
    <x v="9"/>
    <s v="View"/>
    <s v="P729"/>
    <x v="2"/>
    <x v="0"/>
    <x v="4"/>
    <n v="0"/>
  </r>
  <r>
    <s v="U915"/>
    <s v="S8365"/>
    <x v="10"/>
    <s v="Add_to_Cart"/>
    <s v="P704"/>
    <x v="0"/>
    <x v="2"/>
    <x v="3"/>
    <n v="0"/>
  </r>
  <r>
    <s v="U215"/>
    <s v="S7088"/>
    <x v="11"/>
    <s v="View"/>
    <s v="P593"/>
    <x v="1"/>
    <x v="0"/>
    <x v="2"/>
    <n v="0"/>
  </r>
  <r>
    <s v="U310"/>
    <s v="S3801"/>
    <x v="12"/>
    <s v="Purchase"/>
    <s v="P346"/>
    <x v="4"/>
    <x v="1"/>
    <x v="3"/>
    <n v="1927"/>
  </r>
  <r>
    <s v="U105"/>
    <s v="S4899"/>
    <x v="13"/>
    <s v="Purchase"/>
    <s v="P623"/>
    <x v="1"/>
    <x v="0"/>
    <x v="3"/>
    <n v="1464"/>
  </r>
  <r>
    <s v="U415"/>
    <s v="S3352"/>
    <x v="14"/>
    <s v="View"/>
    <s v="P552"/>
    <x v="3"/>
    <x v="2"/>
    <x v="2"/>
    <n v="0"/>
  </r>
  <r>
    <s v="U615"/>
    <s v="S8643"/>
    <x v="15"/>
    <s v="Add_to_Cart"/>
    <s v="P894"/>
    <x v="3"/>
    <x v="2"/>
    <x v="4"/>
    <n v="0"/>
  </r>
  <r>
    <s v="U345"/>
    <s v="S1297"/>
    <x v="16"/>
    <s v="Add_to_Cart"/>
    <s v="P101"/>
    <x v="3"/>
    <x v="0"/>
    <x v="1"/>
    <n v="0"/>
  </r>
  <r>
    <s v="U527"/>
    <s v="S7682"/>
    <x v="17"/>
    <s v="Add_to_Cart"/>
    <s v="P422"/>
    <x v="1"/>
    <x v="0"/>
    <x v="1"/>
    <n v="0"/>
  </r>
  <r>
    <s v="U509"/>
    <s v="S9301"/>
    <x v="18"/>
    <s v="Purchase"/>
    <s v="P199"/>
    <x v="3"/>
    <x v="1"/>
    <x v="4"/>
    <n v="3864"/>
  </r>
  <r>
    <s v="U600"/>
    <s v="S4789"/>
    <x v="19"/>
    <s v="View"/>
    <s v="P743"/>
    <x v="4"/>
    <x v="2"/>
    <x v="4"/>
    <n v="0"/>
  </r>
  <r>
    <s v="U574"/>
    <s v="S7506"/>
    <x v="20"/>
    <s v="View"/>
    <s v="P890"/>
    <x v="4"/>
    <x v="0"/>
    <x v="1"/>
    <n v="0"/>
  </r>
  <r>
    <s v="U425"/>
    <s v="S7330"/>
    <x v="21"/>
    <s v="Add_to_Cart"/>
    <s v="P152"/>
    <x v="1"/>
    <x v="2"/>
    <x v="1"/>
    <n v="0"/>
  </r>
  <r>
    <s v="U146"/>
    <s v="S1744"/>
    <x v="22"/>
    <s v="Add_to_Cart"/>
    <s v="P467"/>
    <x v="2"/>
    <x v="0"/>
    <x v="0"/>
    <n v="0"/>
  </r>
  <r>
    <s v="U460"/>
    <s v="S6068"/>
    <x v="23"/>
    <s v="Purchase"/>
    <s v="P469"/>
    <x v="4"/>
    <x v="2"/>
    <x v="0"/>
    <n v="4921"/>
  </r>
  <r>
    <s v="U315"/>
    <s v="S2693"/>
    <x v="24"/>
    <s v="Add_to_Cart"/>
    <s v="P287"/>
    <x v="1"/>
    <x v="1"/>
    <x v="3"/>
    <n v="0"/>
  </r>
  <r>
    <s v="U805"/>
    <s v="S2673"/>
    <x v="25"/>
    <s v="View"/>
    <s v="P381"/>
    <x v="3"/>
    <x v="1"/>
    <x v="3"/>
    <n v="0"/>
  </r>
  <r>
    <s v="U733"/>
    <s v="S4111"/>
    <x v="26"/>
    <s v="View"/>
    <s v="P974"/>
    <x v="3"/>
    <x v="1"/>
    <x v="4"/>
    <n v="0"/>
  </r>
  <r>
    <s v="U990"/>
    <s v="S3058"/>
    <x v="27"/>
    <s v="Add_to_Cart"/>
    <s v="P918"/>
    <x v="1"/>
    <x v="1"/>
    <x v="1"/>
    <n v="0"/>
  </r>
  <r>
    <s v="U452"/>
    <s v="S9631"/>
    <x v="28"/>
    <s v="View"/>
    <s v="P130"/>
    <x v="3"/>
    <x v="2"/>
    <x v="0"/>
    <n v="0"/>
  </r>
  <r>
    <s v="U925"/>
    <s v="S6631"/>
    <x v="29"/>
    <s v="Purchase"/>
    <s v="P537"/>
    <x v="0"/>
    <x v="2"/>
    <x v="2"/>
    <n v="4613"/>
  </r>
  <r>
    <s v="U907"/>
    <s v="S3967"/>
    <x v="30"/>
    <s v="Purchase"/>
    <s v="P841"/>
    <x v="3"/>
    <x v="2"/>
    <x v="0"/>
    <n v="2082"/>
  </r>
  <r>
    <s v="U159"/>
    <s v="S3980"/>
    <x v="31"/>
    <s v="Add_to_Cart"/>
    <s v="P853"/>
    <x v="4"/>
    <x v="0"/>
    <x v="1"/>
    <n v="0"/>
  </r>
  <r>
    <s v="U278"/>
    <s v="S5737"/>
    <x v="32"/>
    <s v="Add_to_Cart"/>
    <s v="P884"/>
    <x v="2"/>
    <x v="0"/>
    <x v="1"/>
    <n v="0"/>
  </r>
  <r>
    <s v="U839"/>
    <s v="S7388"/>
    <x v="33"/>
    <s v="Add_to_Cart"/>
    <s v="P870"/>
    <x v="0"/>
    <x v="1"/>
    <x v="4"/>
    <n v="0"/>
  </r>
  <r>
    <s v="U141"/>
    <s v="S3794"/>
    <x v="34"/>
    <s v="View"/>
    <s v="P256"/>
    <x v="0"/>
    <x v="2"/>
    <x v="2"/>
    <n v="0"/>
  </r>
  <r>
    <s v="U300"/>
    <s v="S6943"/>
    <x v="35"/>
    <s v="View"/>
    <s v="P584"/>
    <x v="1"/>
    <x v="0"/>
    <x v="3"/>
    <n v="0"/>
  </r>
  <r>
    <s v="U368"/>
    <s v="S6777"/>
    <x v="36"/>
    <s v="View"/>
    <s v="P646"/>
    <x v="2"/>
    <x v="2"/>
    <x v="1"/>
    <n v="0"/>
  </r>
  <r>
    <s v="U619"/>
    <s v="S1923"/>
    <x v="37"/>
    <s v="Add_to_Cart"/>
    <s v="P563"/>
    <x v="4"/>
    <x v="1"/>
    <x v="4"/>
    <n v="0"/>
  </r>
  <r>
    <s v="U483"/>
    <s v="S9605"/>
    <x v="38"/>
    <s v="View"/>
    <s v="P250"/>
    <x v="4"/>
    <x v="0"/>
    <x v="3"/>
    <n v="0"/>
  </r>
  <r>
    <s v="U950"/>
    <s v="S8682"/>
    <x v="39"/>
    <s v="View"/>
    <s v="P853"/>
    <x v="3"/>
    <x v="1"/>
    <x v="2"/>
    <n v="0"/>
  </r>
  <r>
    <s v="U955"/>
    <s v="S6152"/>
    <x v="40"/>
    <s v="Add_to_Cart"/>
    <s v="P950"/>
    <x v="4"/>
    <x v="1"/>
    <x v="1"/>
    <n v="0"/>
  </r>
  <r>
    <s v="U361"/>
    <s v="S4777"/>
    <x v="41"/>
    <s v="View"/>
    <s v="P397"/>
    <x v="2"/>
    <x v="2"/>
    <x v="1"/>
    <n v="0"/>
  </r>
  <r>
    <s v="U585"/>
    <s v="S4278"/>
    <x v="42"/>
    <s v="Purchase"/>
    <s v="P755"/>
    <x v="3"/>
    <x v="2"/>
    <x v="1"/>
    <n v="4557"/>
  </r>
  <r>
    <s v="U330"/>
    <s v="S6324"/>
    <x v="43"/>
    <s v="Add_to_Cart"/>
    <s v="P655"/>
    <x v="3"/>
    <x v="2"/>
    <x v="4"/>
    <n v="0"/>
  </r>
  <r>
    <s v="U411"/>
    <s v="S5545"/>
    <x v="44"/>
    <s v="Add_to_Cart"/>
    <s v="P819"/>
    <x v="3"/>
    <x v="2"/>
    <x v="2"/>
    <n v="0"/>
  </r>
  <r>
    <s v="U869"/>
    <s v="S6238"/>
    <x v="45"/>
    <s v="Add_to_Cart"/>
    <s v="P816"/>
    <x v="1"/>
    <x v="2"/>
    <x v="2"/>
    <n v="0"/>
  </r>
  <r>
    <s v="U432"/>
    <s v="S5310"/>
    <x v="46"/>
    <s v="View"/>
    <s v="P280"/>
    <x v="3"/>
    <x v="2"/>
    <x v="0"/>
    <n v="0"/>
  </r>
  <r>
    <s v="U788"/>
    <s v="S8867"/>
    <x v="47"/>
    <s v="View"/>
    <s v="P347"/>
    <x v="0"/>
    <x v="1"/>
    <x v="1"/>
    <n v="0"/>
  </r>
  <r>
    <s v="U259"/>
    <s v="S6449"/>
    <x v="48"/>
    <s v="View"/>
    <s v="P779"/>
    <x v="2"/>
    <x v="2"/>
    <x v="0"/>
    <n v="0"/>
  </r>
  <r>
    <s v="U786"/>
    <s v="S2054"/>
    <x v="49"/>
    <s v="Add_to_Cart"/>
    <s v="P493"/>
    <x v="1"/>
    <x v="2"/>
    <x v="3"/>
    <n v="0"/>
  </r>
  <r>
    <s v="U685"/>
    <s v="S6693"/>
    <x v="50"/>
    <s v="Purchase"/>
    <s v="P809"/>
    <x v="2"/>
    <x v="0"/>
    <x v="2"/>
    <n v="986"/>
  </r>
  <r>
    <s v="U300"/>
    <s v="S2116"/>
    <x v="51"/>
    <s v="Purchase"/>
    <s v="P286"/>
    <x v="0"/>
    <x v="0"/>
    <x v="0"/>
    <n v="4799"/>
  </r>
  <r>
    <s v="U786"/>
    <s v="S9187"/>
    <x v="52"/>
    <s v="Purchase"/>
    <s v="P216"/>
    <x v="2"/>
    <x v="1"/>
    <x v="0"/>
    <n v="3598"/>
  </r>
  <r>
    <s v="U649"/>
    <s v="S2014"/>
    <x v="53"/>
    <s v="Add_to_Cart"/>
    <s v="P642"/>
    <x v="4"/>
    <x v="1"/>
    <x v="0"/>
    <n v="0"/>
  </r>
  <r>
    <s v="U694"/>
    <s v="S6017"/>
    <x v="54"/>
    <s v="Purchase"/>
    <s v="P527"/>
    <x v="3"/>
    <x v="1"/>
    <x v="4"/>
    <n v="4312"/>
  </r>
  <r>
    <s v="U193"/>
    <s v="S6428"/>
    <x v="55"/>
    <s v="View"/>
    <s v="P234"/>
    <x v="4"/>
    <x v="0"/>
    <x v="4"/>
    <n v="0"/>
  </r>
  <r>
    <s v="U485"/>
    <s v="S4680"/>
    <x v="56"/>
    <s v="Add_to_Cart"/>
    <s v="P349"/>
    <x v="1"/>
    <x v="0"/>
    <x v="0"/>
    <n v="0"/>
  </r>
  <r>
    <s v="U590"/>
    <s v="S5654"/>
    <x v="57"/>
    <s v="Purchase"/>
    <s v="P190"/>
    <x v="2"/>
    <x v="0"/>
    <x v="4"/>
    <n v="2830"/>
  </r>
  <r>
    <s v="U214"/>
    <s v="S4273"/>
    <x v="58"/>
    <s v="Add_to_Cart"/>
    <s v="P667"/>
    <x v="4"/>
    <x v="0"/>
    <x v="2"/>
    <n v="0"/>
  </r>
  <r>
    <s v="U265"/>
    <s v="S2908"/>
    <x v="59"/>
    <s v="View"/>
    <s v="P631"/>
    <x v="3"/>
    <x v="2"/>
    <x v="2"/>
    <n v="0"/>
  </r>
  <r>
    <s v="U855"/>
    <s v="S7131"/>
    <x v="60"/>
    <s v="Add_to_Cart"/>
    <s v="P879"/>
    <x v="3"/>
    <x v="2"/>
    <x v="2"/>
    <n v="0"/>
  </r>
  <r>
    <s v="U615"/>
    <s v="S4754"/>
    <x v="61"/>
    <s v="View"/>
    <s v="P632"/>
    <x v="3"/>
    <x v="0"/>
    <x v="0"/>
    <n v="0"/>
  </r>
  <r>
    <s v="U496"/>
    <s v="S9903"/>
    <x v="62"/>
    <s v="Add_to_Cart"/>
    <s v="P750"/>
    <x v="1"/>
    <x v="0"/>
    <x v="0"/>
    <n v="0"/>
  </r>
  <r>
    <s v="U907"/>
    <s v="S9200"/>
    <x v="63"/>
    <s v="View"/>
    <s v="P791"/>
    <x v="1"/>
    <x v="2"/>
    <x v="4"/>
    <n v="0"/>
  </r>
  <r>
    <s v="U291"/>
    <s v="S9211"/>
    <x v="64"/>
    <s v="Purchase"/>
    <s v="P747"/>
    <x v="4"/>
    <x v="0"/>
    <x v="1"/>
    <n v="945"/>
  </r>
  <r>
    <s v="U101"/>
    <s v="S5545"/>
    <x v="65"/>
    <s v="Add_to_Cart"/>
    <s v="P849"/>
    <x v="1"/>
    <x v="0"/>
    <x v="4"/>
    <n v="0"/>
  </r>
  <r>
    <s v="U581"/>
    <s v="S4317"/>
    <x v="66"/>
    <s v="Add_to_Cart"/>
    <s v="P439"/>
    <x v="1"/>
    <x v="2"/>
    <x v="0"/>
    <n v="0"/>
  </r>
  <r>
    <s v="U953"/>
    <s v="S2610"/>
    <x v="67"/>
    <s v="Add_to_Cart"/>
    <s v="P234"/>
    <x v="4"/>
    <x v="0"/>
    <x v="3"/>
    <n v="0"/>
  </r>
  <r>
    <s v="U329"/>
    <s v="S4069"/>
    <x v="68"/>
    <s v="Purchase"/>
    <s v="P628"/>
    <x v="2"/>
    <x v="1"/>
    <x v="3"/>
    <n v="1982"/>
  </r>
  <r>
    <s v="U200"/>
    <s v="S7993"/>
    <x v="69"/>
    <s v="Add_to_Cart"/>
    <s v="P656"/>
    <x v="3"/>
    <x v="2"/>
    <x v="4"/>
    <n v="0"/>
  </r>
  <r>
    <s v="U120"/>
    <s v="S5801"/>
    <x v="70"/>
    <s v="Add_to_Cart"/>
    <s v="P598"/>
    <x v="2"/>
    <x v="1"/>
    <x v="0"/>
    <n v="0"/>
  </r>
  <r>
    <s v="U735"/>
    <s v="S3965"/>
    <x v="71"/>
    <s v="Add_to_Cart"/>
    <s v="P633"/>
    <x v="2"/>
    <x v="0"/>
    <x v="4"/>
    <n v="0"/>
  </r>
  <r>
    <s v="U565"/>
    <s v="S3336"/>
    <x v="72"/>
    <s v="Purchase"/>
    <s v="P854"/>
    <x v="3"/>
    <x v="1"/>
    <x v="3"/>
    <n v="3131"/>
  </r>
  <r>
    <s v="U504"/>
    <s v="S4892"/>
    <x v="73"/>
    <s v="Add_to_Cart"/>
    <s v="P926"/>
    <x v="1"/>
    <x v="1"/>
    <x v="4"/>
    <n v="0"/>
  </r>
  <r>
    <s v="U654"/>
    <s v="S7637"/>
    <x v="74"/>
    <s v="Add_to_Cart"/>
    <s v="P187"/>
    <x v="0"/>
    <x v="2"/>
    <x v="2"/>
    <n v="0"/>
  </r>
  <r>
    <s v="U427"/>
    <s v="S8184"/>
    <x v="75"/>
    <s v="View"/>
    <s v="P889"/>
    <x v="0"/>
    <x v="1"/>
    <x v="1"/>
    <n v="0"/>
  </r>
  <r>
    <s v="U348"/>
    <s v="S8608"/>
    <x v="76"/>
    <s v="View"/>
    <s v="P440"/>
    <x v="0"/>
    <x v="1"/>
    <x v="0"/>
    <n v="0"/>
  </r>
  <r>
    <s v="U893"/>
    <s v="S1595"/>
    <x v="77"/>
    <s v="View"/>
    <s v="P242"/>
    <x v="2"/>
    <x v="2"/>
    <x v="2"/>
    <n v="0"/>
  </r>
  <r>
    <s v="U383"/>
    <s v="S6780"/>
    <x v="78"/>
    <s v="View"/>
    <s v="P252"/>
    <x v="3"/>
    <x v="1"/>
    <x v="1"/>
    <n v="0"/>
  </r>
  <r>
    <s v="U995"/>
    <s v="S1244"/>
    <x v="79"/>
    <s v="Add_to_Cart"/>
    <s v="P441"/>
    <x v="4"/>
    <x v="2"/>
    <x v="3"/>
    <n v="0"/>
  </r>
  <r>
    <s v="U353"/>
    <s v="S9134"/>
    <x v="80"/>
    <s v="View"/>
    <s v="P573"/>
    <x v="3"/>
    <x v="1"/>
    <x v="4"/>
    <n v="0"/>
  </r>
  <r>
    <s v="U325"/>
    <s v="S6593"/>
    <x v="81"/>
    <s v="Purchase"/>
    <s v="P379"/>
    <x v="2"/>
    <x v="2"/>
    <x v="4"/>
    <n v="1342"/>
  </r>
  <r>
    <s v="U780"/>
    <s v="S8161"/>
    <x v="82"/>
    <s v="View"/>
    <s v="P815"/>
    <x v="3"/>
    <x v="2"/>
    <x v="2"/>
    <n v="0"/>
  </r>
  <r>
    <s v="U116"/>
    <s v="S4222"/>
    <x v="83"/>
    <s v="Add_to_Cart"/>
    <s v="P861"/>
    <x v="3"/>
    <x v="2"/>
    <x v="3"/>
    <n v="0"/>
  </r>
  <r>
    <s v="U104"/>
    <s v="S8113"/>
    <x v="84"/>
    <s v="Purchase"/>
    <s v="P894"/>
    <x v="4"/>
    <x v="0"/>
    <x v="4"/>
    <n v="3379"/>
  </r>
  <r>
    <s v="U187"/>
    <s v="S7486"/>
    <x v="85"/>
    <s v="View"/>
    <s v="P514"/>
    <x v="1"/>
    <x v="1"/>
    <x v="1"/>
    <n v="0"/>
  </r>
  <r>
    <s v="U332"/>
    <s v="S5640"/>
    <x v="86"/>
    <s v="Add_to_Cart"/>
    <s v="P857"/>
    <x v="4"/>
    <x v="2"/>
    <x v="4"/>
    <n v="0"/>
  </r>
  <r>
    <s v="U406"/>
    <s v="S1710"/>
    <x v="87"/>
    <s v="Purchase"/>
    <s v="P958"/>
    <x v="1"/>
    <x v="2"/>
    <x v="1"/>
    <n v="3063"/>
  </r>
  <r>
    <s v="U589"/>
    <s v="S8370"/>
    <x v="88"/>
    <s v="Add_to_Cart"/>
    <s v="P892"/>
    <x v="0"/>
    <x v="1"/>
    <x v="3"/>
    <n v="0"/>
  </r>
  <r>
    <s v="U152"/>
    <s v="S6695"/>
    <x v="89"/>
    <s v="Add_to_Cart"/>
    <s v="P740"/>
    <x v="0"/>
    <x v="2"/>
    <x v="0"/>
    <n v="0"/>
  </r>
  <r>
    <s v="U719"/>
    <s v="S6922"/>
    <x v="90"/>
    <s v="Purchase"/>
    <s v="P679"/>
    <x v="4"/>
    <x v="1"/>
    <x v="4"/>
    <n v="3786"/>
  </r>
  <r>
    <s v="U346"/>
    <s v="S2465"/>
    <x v="91"/>
    <s v="View"/>
    <s v="P863"/>
    <x v="0"/>
    <x v="0"/>
    <x v="1"/>
    <n v="0"/>
  </r>
  <r>
    <s v="U962"/>
    <s v="S3259"/>
    <x v="92"/>
    <s v="Purchase"/>
    <s v="P725"/>
    <x v="3"/>
    <x v="1"/>
    <x v="1"/>
    <n v="538"/>
  </r>
  <r>
    <s v="U473"/>
    <s v="S5079"/>
    <x v="93"/>
    <s v="Add_to_Cart"/>
    <s v="P225"/>
    <x v="0"/>
    <x v="2"/>
    <x v="0"/>
    <n v="0"/>
  </r>
  <r>
    <s v="U297"/>
    <s v="S2607"/>
    <x v="94"/>
    <s v="Purchase"/>
    <s v="P841"/>
    <x v="0"/>
    <x v="0"/>
    <x v="0"/>
    <n v="2739"/>
  </r>
  <r>
    <s v="U961"/>
    <s v="S5944"/>
    <x v="95"/>
    <s v="View"/>
    <s v="P940"/>
    <x v="4"/>
    <x v="0"/>
    <x v="3"/>
    <n v="0"/>
  </r>
  <r>
    <s v="U146"/>
    <s v="S1961"/>
    <x v="96"/>
    <s v="Add_to_Cart"/>
    <s v="P962"/>
    <x v="0"/>
    <x v="2"/>
    <x v="1"/>
    <n v="0"/>
  </r>
  <r>
    <s v="U362"/>
    <s v="S2581"/>
    <x v="97"/>
    <s v="View"/>
    <s v="P136"/>
    <x v="0"/>
    <x v="2"/>
    <x v="2"/>
    <n v="0"/>
  </r>
  <r>
    <s v="U145"/>
    <s v="S7462"/>
    <x v="98"/>
    <s v="Purchase"/>
    <s v="P476"/>
    <x v="2"/>
    <x v="1"/>
    <x v="2"/>
    <n v="4522"/>
  </r>
  <r>
    <s v="U644"/>
    <s v="S2738"/>
    <x v="99"/>
    <s v="Purchase"/>
    <s v="P165"/>
    <x v="4"/>
    <x v="2"/>
    <x v="0"/>
    <n v="3973"/>
  </r>
  <r>
    <s v="U695"/>
    <s v="S2323"/>
    <x v="100"/>
    <s v="Purchase"/>
    <s v="P644"/>
    <x v="2"/>
    <x v="1"/>
    <x v="2"/>
    <n v="1792"/>
  </r>
  <r>
    <s v="U712"/>
    <s v="S5539"/>
    <x v="101"/>
    <s v="Add_to_Cart"/>
    <s v="P299"/>
    <x v="0"/>
    <x v="1"/>
    <x v="1"/>
    <n v="0"/>
  </r>
  <r>
    <s v="U948"/>
    <s v="S1518"/>
    <x v="102"/>
    <s v="Add_to_Cart"/>
    <s v="P198"/>
    <x v="1"/>
    <x v="0"/>
    <x v="1"/>
    <n v="0"/>
  </r>
  <r>
    <s v="U361"/>
    <s v="S3298"/>
    <x v="103"/>
    <s v="View"/>
    <s v="P672"/>
    <x v="0"/>
    <x v="0"/>
    <x v="2"/>
    <n v="0"/>
  </r>
  <r>
    <s v="U649"/>
    <s v="S7127"/>
    <x v="104"/>
    <s v="View"/>
    <s v="P513"/>
    <x v="3"/>
    <x v="1"/>
    <x v="0"/>
    <n v="0"/>
  </r>
  <r>
    <s v="U101"/>
    <s v="S1305"/>
    <x v="105"/>
    <s v="Purchase"/>
    <s v="P124"/>
    <x v="0"/>
    <x v="1"/>
    <x v="3"/>
    <n v="433"/>
  </r>
  <r>
    <s v="U481"/>
    <s v="S3078"/>
    <x v="106"/>
    <s v="Purchase"/>
    <s v="P396"/>
    <x v="4"/>
    <x v="0"/>
    <x v="2"/>
    <n v="3894"/>
  </r>
  <r>
    <s v="U709"/>
    <s v="S5089"/>
    <x v="107"/>
    <s v="View"/>
    <s v="P187"/>
    <x v="0"/>
    <x v="1"/>
    <x v="4"/>
    <n v="0"/>
  </r>
  <r>
    <s v="U804"/>
    <s v="S7096"/>
    <x v="108"/>
    <s v="Add_to_Cart"/>
    <s v="P677"/>
    <x v="4"/>
    <x v="2"/>
    <x v="4"/>
    <n v="0"/>
  </r>
  <r>
    <s v="U892"/>
    <s v="S5471"/>
    <x v="109"/>
    <s v="Purchase"/>
    <s v="P369"/>
    <x v="4"/>
    <x v="0"/>
    <x v="3"/>
    <n v="3168"/>
  </r>
  <r>
    <s v="U663"/>
    <s v="S7109"/>
    <x v="110"/>
    <s v="View"/>
    <s v="P962"/>
    <x v="1"/>
    <x v="0"/>
    <x v="0"/>
    <n v="0"/>
  </r>
  <r>
    <s v="U621"/>
    <s v="S9843"/>
    <x v="111"/>
    <s v="Add_to_Cart"/>
    <s v="P331"/>
    <x v="4"/>
    <x v="2"/>
    <x v="0"/>
    <n v="0"/>
  </r>
  <r>
    <s v="U798"/>
    <s v="S9870"/>
    <x v="112"/>
    <s v="Purchase"/>
    <s v="P869"/>
    <x v="0"/>
    <x v="0"/>
    <x v="4"/>
    <n v="3710"/>
  </r>
  <r>
    <s v="U578"/>
    <s v="S1158"/>
    <x v="113"/>
    <s v="View"/>
    <s v="P946"/>
    <x v="4"/>
    <x v="0"/>
    <x v="4"/>
    <n v="0"/>
  </r>
  <r>
    <s v="U152"/>
    <s v="S2737"/>
    <x v="114"/>
    <s v="Add_to_Cart"/>
    <s v="P348"/>
    <x v="4"/>
    <x v="1"/>
    <x v="2"/>
    <n v="0"/>
  </r>
  <r>
    <s v="U217"/>
    <s v="S5885"/>
    <x v="115"/>
    <s v="Add_to_Cart"/>
    <s v="P412"/>
    <x v="2"/>
    <x v="0"/>
    <x v="4"/>
    <n v="0"/>
  </r>
  <r>
    <s v="U255"/>
    <s v="S2992"/>
    <x v="116"/>
    <s v="View"/>
    <s v="P827"/>
    <x v="1"/>
    <x v="2"/>
    <x v="3"/>
    <n v="0"/>
  </r>
  <r>
    <s v="U472"/>
    <s v="S7401"/>
    <x v="117"/>
    <s v="View"/>
    <s v="P886"/>
    <x v="0"/>
    <x v="0"/>
    <x v="0"/>
    <n v="0"/>
  </r>
  <r>
    <s v="U511"/>
    <s v="S9121"/>
    <x v="118"/>
    <s v="View"/>
    <s v="P423"/>
    <x v="2"/>
    <x v="1"/>
    <x v="1"/>
    <n v="0"/>
  </r>
  <r>
    <s v="U868"/>
    <s v="S4349"/>
    <x v="119"/>
    <s v="Purchase"/>
    <s v="P845"/>
    <x v="3"/>
    <x v="2"/>
    <x v="0"/>
    <n v="2891"/>
  </r>
  <r>
    <s v="U948"/>
    <s v="S9008"/>
    <x v="120"/>
    <s v="Add_to_Cart"/>
    <s v="P162"/>
    <x v="1"/>
    <x v="2"/>
    <x v="2"/>
    <n v="0"/>
  </r>
  <r>
    <s v="U823"/>
    <s v="S8121"/>
    <x v="121"/>
    <s v="View"/>
    <s v="P816"/>
    <x v="1"/>
    <x v="2"/>
    <x v="0"/>
    <n v="0"/>
  </r>
  <r>
    <s v="U464"/>
    <s v="S4937"/>
    <x v="122"/>
    <s v="Purchase"/>
    <s v="P894"/>
    <x v="2"/>
    <x v="1"/>
    <x v="4"/>
    <n v="2741"/>
  </r>
  <r>
    <s v="U569"/>
    <s v="S3189"/>
    <x v="123"/>
    <s v="Purchase"/>
    <s v="P509"/>
    <x v="0"/>
    <x v="1"/>
    <x v="3"/>
    <n v="3112"/>
  </r>
  <r>
    <s v="U177"/>
    <s v="S1366"/>
    <x v="124"/>
    <s v="Purchase"/>
    <s v="P628"/>
    <x v="4"/>
    <x v="1"/>
    <x v="3"/>
    <n v="2865"/>
  </r>
  <r>
    <s v="U934"/>
    <s v="S7817"/>
    <x v="125"/>
    <s v="Purchase"/>
    <s v="P983"/>
    <x v="2"/>
    <x v="0"/>
    <x v="1"/>
    <n v="1041"/>
  </r>
  <r>
    <s v="U977"/>
    <s v="S4957"/>
    <x v="126"/>
    <s v="Purchase"/>
    <s v="P490"/>
    <x v="0"/>
    <x v="1"/>
    <x v="2"/>
    <n v="2148"/>
  </r>
  <r>
    <s v="U294"/>
    <s v="S1580"/>
    <x v="127"/>
    <s v="View"/>
    <s v="P306"/>
    <x v="4"/>
    <x v="2"/>
    <x v="4"/>
    <n v="0"/>
  </r>
  <r>
    <s v="U868"/>
    <s v="S3918"/>
    <x v="128"/>
    <s v="Add_to_Cart"/>
    <s v="P839"/>
    <x v="3"/>
    <x v="0"/>
    <x v="4"/>
    <n v="0"/>
  </r>
  <r>
    <s v="U992"/>
    <s v="S9481"/>
    <x v="129"/>
    <s v="View"/>
    <s v="P422"/>
    <x v="0"/>
    <x v="0"/>
    <x v="3"/>
    <n v="0"/>
  </r>
  <r>
    <s v="U133"/>
    <s v="S5617"/>
    <x v="130"/>
    <s v="Purchase"/>
    <s v="P964"/>
    <x v="0"/>
    <x v="1"/>
    <x v="3"/>
    <n v="2814"/>
  </r>
  <r>
    <s v="U847"/>
    <s v="S9464"/>
    <x v="131"/>
    <s v="Add_to_Cart"/>
    <s v="P726"/>
    <x v="3"/>
    <x v="1"/>
    <x v="0"/>
    <n v="0"/>
  </r>
  <r>
    <s v="U171"/>
    <s v="S1300"/>
    <x v="132"/>
    <s v="Add_to_Cart"/>
    <s v="P713"/>
    <x v="4"/>
    <x v="0"/>
    <x v="0"/>
    <n v="0"/>
  </r>
  <r>
    <s v="U788"/>
    <s v="S5764"/>
    <x v="133"/>
    <s v="View"/>
    <s v="P431"/>
    <x v="1"/>
    <x v="0"/>
    <x v="4"/>
    <n v="0"/>
  </r>
  <r>
    <s v="U595"/>
    <s v="S6393"/>
    <x v="127"/>
    <s v="Purchase"/>
    <s v="P981"/>
    <x v="4"/>
    <x v="0"/>
    <x v="3"/>
    <n v="4554"/>
  </r>
  <r>
    <s v="U964"/>
    <s v="S6385"/>
    <x v="134"/>
    <s v="View"/>
    <s v="P212"/>
    <x v="4"/>
    <x v="2"/>
    <x v="0"/>
    <n v="0"/>
  </r>
  <r>
    <s v="U996"/>
    <s v="S2900"/>
    <x v="135"/>
    <s v="View"/>
    <s v="P204"/>
    <x v="2"/>
    <x v="0"/>
    <x v="4"/>
    <n v="0"/>
  </r>
  <r>
    <s v="U457"/>
    <s v="S7609"/>
    <x v="136"/>
    <s v="Purchase"/>
    <s v="P258"/>
    <x v="3"/>
    <x v="1"/>
    <x v="0"/>
    <n v="4594"/>
  </r>
  <r>
    <s v="U882"/>
    <s v="S8138"/>
    <x v="137"/>
    <s v="Add_to_Cart"/>
    <s v="P334"/>
    <x v="4"/>
    <x v="2"/>
    <x v="3"/>
    <n v="0"/>
  </r>
  <r>
    <s v="U800"/>
    <s v="S1571"/>
    <x v="138"/>
    <s v="Add_to_Cart"/>
    <s v="P628"/>
    <x v="2"/>
    <x v="1"/>
    <x v="4"/>
    <n v="0"/>
  </r>
  <r>
    <s v="U982"/>
    <s v="S2631"/>
    <x v="139"/>
    <s v="Add_to_Cart"/>
    <s v="P645"/>
    <x v="4"/>
    <x v="2"/>
    <x v="3"/>
    <n v="0"/>
  </r>
  <r>
    <s v="U875"/>
    <s v="S2528"/>
    <x v="140"/>
    <s v="View"/>
    <s v="P680"/>
    <x v="3"/>
    <x v="1"/>
    <x v="1"/>
    <n v="0"/>
  </r>
  <r>
    <s v="U798"/>
    <s v="S4959"/>
    <x v="141"/>
    <s v="View"/>
    <s v="P256"/>
    <x v="1"/>
    <x v="1"/>
    <x v="1"/>
    <n v="0"/>
  </r>
  <r>
    <s v="U128"/>
    <s v="S8450"/>
    <x v="142"/>
    <s v="Purchase"/>
    <s v="P442"/>
    <x v="2"/>
    <x v="2"/>
    <x v="0"/>
    <n v="3180"/>
  </r>
  <r>
    <s v="U929"/>
    <s v="S9105"/>
    <x v="143"/>
    <s v="View"/>
    <s v="P479"/>
    <x v="2"/>
    <x v="0"/>
    <x v="4"/>
    <n v="0"/>
  </r>
  <r>
    <s v="U895"/>
    <s v="S7127"/>
    <x v="144"/>
    <s v="Purchase"/>
    <s v="P341"/>
    <x v="2"/>
    <x v="1"/>
    <x v="2"/>
    <n v="4685"/>
  </r>
  <r>
    <s v="U576"/>
    <s v="S7699"/>
    <x v="145"/>
    <s v="View"/>
    <s v="P307"/>
    <x v="1"/>
    <x v="2"/>
    <x v="4"/>
    <n v="0"/>
  </r>
  <r>
    <s v="U211"/>
    <s v="S7598"/>
    <x v="146"/>
    <s v="View"/>
    <s v="P898"/>
    <x v="1"/>
    <x v="2"/>
    <x v="1"/>
    <n v="0"/>
  </r>
  <r>
    <s v="U713"/>
    <s v="S7146"/>
    <x v="147"/>
    <s v="View"/>
    <s v="P643"/>
    <x v="0"/>
    <x v="0"/>
    <x v="3"/>
    <n v="0"/>
  </r>
  <r>
    <s v="U717"/>
    <s v="S1824"/>
    <x v="148"/>
    <s v="Add_to_Cart"/>
    <s v="P932"/>
    <x v="2"/>
    <x v="1"/>
    <x v="1"/>
    <n v="0"/>
  </r>
  <r>
    <s v="U150"/>
    <s v="S7800"/>
    <x v="149"/>
    <s v="Add_to_Cart"/>
    <s v="P709"/>
    <x v="2"/>
    <x v="2"/>
    <x v="4"/>
    <n v="0"/>
  </r>
  <r>
    <s v="U970"/>
    <s v="S4130"/>
    <x v="150"/>
    <s v="View"/>
    <s v="P292"/>
    <x v="4"/>
    <x v="1"/>
    <x v="3"/>
    <n v="0"/>
  </r>
  <r>
    <s v="U974"/>
    <s v="S7235"/>
    <x v="151"/>
    <s v="Purchase"/>
    <s v="P792"/>
    <x v="0"/>
    <x v="1"/>
    <x v="4"/>
    <n v="4827"/>
  </r>
  <r>
    <s v="U464"/>
    <s v="S7163"/>
    <x v="152"/>
    <s v="Add_to_Cart"/>
    <s v="P689"/>
    <x v="4"/>
    <x v="1"/>
    <x v="2"/>
    <n v="0"/>
  </r>
  <r>
    <s v="U595"/>
    <s v="S1373"/>
    <x v="153"/>
    <s v="View"/>
    <s v="P855"/>
    <x v="0"/>
    <x v="0"/>
    <x v="1"/>
    <n v="0"/>
  </r>
  <r>
    <s v="U123"/>
    <s v="S6175"/>
    <x v="154"/>
    <s v="Purchase"/>
    <s v="P430"/>
    <x v="3"/>
    <x v="1"/>
    <x v="2"/>
    <n v="1534"/>
  </r>
  <r>
    <s v="U516"/>
    <s v="S9124"/>
    <x v="155"/>
    <s v="Add_to_Cart"/>
    <s v="P858"/>
    <x v="2"/>
    <x v="0"/>
    <x v="2"/>
    <n v="0"/>
  </r>
  <r>
    <s v="U550"/>
    <s v="S8935"/>
    <x v="156"/>
    <s v="View"/>
    <s v="P946"/>
    <x v="0"/>
    <x v="0"/>
    <x v="4"/>
    <n v="0"/>
  </r>
  <r>
    <s v="U485"/>
    <s v="S6354"/>
    <x v="157"/>
    <s v="Add_to_Cart"/>
    <s v="P587"/>
    <x v="3"/>
    <x v="2"/>
    <x v="3"/>
    <n v="0"/>
  </r>
  <r>
    <s v="U737"/>
    <s v="S6845"/>
    <x v="158"/>
    <s v="Add_to_Cart"/>
    <s v="P116"/>
    <x v="0"/>
    <x v="1"/>
    <x v="3"/>
    <n v="0"/>
  </r>
  <r>
    <s v="U798"/>
    <s v="S5104"/>
    <x v="159"/>
    <s v="View"/>
    <s v="P556"/>
    <x v="0"/>
    <x v="0"/>
    <x v="3"/>
    <n v="0"/>
  </r>
  <r>
    <s v="U267"/>
    <s v="S3250"/>
    <x v="160"/>
    <s v="View"/>
    <s v="P369"/>
    <x v="0"/>
    <x v="2"/>
    <x v="3"/>
    <n v="0"/>
  </r>
  <r>
    <s v="U472"/>
    <s v="S6816"/>
    <x v="161"/>
    <s v="View"/>
    <s v="P855"/>
    <x v="1"/>
    <x v="1"/>
    <x v="3"/>
    <n v="0"/>
  </r>
  <r>
    <s v="U405"/>
    <s v="S8246"/>
    <x v="162"/>
    <s v="View"/>
    <s v="P870"/>
    <x v="1"/>
    <x v="2"/>
    <x v="1"/>
    <n v="0"/>
  </r>
  <r>
    <s v="U506"/>
    <s v="S4185"/>
    <x v="163"/>
    <s v="Add_to_Cart"/>
    <s v="P497"/>
    <x v="1"/>
    <x v="2"/>
    <x v="0"/>
    <n v="0"/>
  </r>
  <r>
    <s v="U200"/>
    <s v="S3040"/>
    <x v="164"/>
    <s v="Purchase"/>
    <s v="P938"/>
    <x v="2"/>
    <x v="1"/>
    <x v="4"/>
    <n v="381"/>
  </r>
  <r>
    <s v="U138"/>
    <s v="S9964"/>
    <x v="165"/>
    <s v="Purchase"/>
    <s v="P442"/>
    <x v="4"/>
    <x v="2"/>
    <x v="1"/>
    <n v="2885"/>
  </r>
  <r>
    <s v="U843"/>
    <s v="S9104"/>
    <x v="166"/>
    <s v="Add_to_Cart"/>
    <s v="P181"/>
    <x v="1"/>
    <x v="2"/>
    <x v="0"/>
    <n v="0"/>
  </r>
  <r>
    <s v="U713"/>
    <s v="S7205"/>
    <x v="167"/>
    <s v="View"/>
    <s v="P245"/>
    <x v="1"/>
    <x v="2"/>
    <x v="2"/>
    <n v="0"/>
  </r>
  <r>
    <s v="U140"/>
    <s v="S8454"/>
    <x v="168"/>
    <s v="Purchase"/>
    <s v="P606"/>
    <x v="2"/>
    <x v="1"/>
    <x v="3"/>
    <n v="2027"/>
  </r>
  <r>
    <s v="U459"/>
    <s v="S5872"/>
    <x v="169"/>
    <s v="Add_to_Cart"/>
    <s v="P805"/>
    <x v="4"/>
    <x v="1"/>
    <x v="0"/>
    <n v="0"/>
  </r>
  <r>
    <s v="U240"/>
    <s v="S9906"/>
    <x v="170"/>
    <s v="Add_to_Cart"/>
    <s v="P173"/>
    <x v="2"/>
    <x v="2"/>
    <x v="1"/>
    <n v="0"/>
  </r>
  <r>
    <s v="U716"/>
    <s v="S2516"/>
    <x v="171"/>
    <s v="View"/>
    <s v="P721"/>
    <x v="2"/>
    <x v="1"/>
    <x v="2"/>
    <n v="0"/>
  </r>
  <r>
    <s v="U179"/>
    <s v="S4069"/>
    <x v="172"/>
    <s v="Add_to_Cart"/>
    <s v="P536"/>
    <x v="1"/>
    <x v="0"/>
    <x v="0"/>
    <n v="0"/>
  </r>
  <r>
    <s v="U127"/>
    <s v="S6308"/>
    <x v="173"/>
    <s v="View"/>
    <s v="P632"/>
    <x v="3"/>
    <x v="1"/>
    <x v="0"/>
    <n v="0"/>
  </r>
  <r>
    <s v="U181"/>
    <s v="S3078"/>
    <x v="174"/>
    <s v="Add_to_Cart"/>
    <s v="P234"/>
    <x v="1"/>
    <x v="0"/>
    <x v="3"/>
    <n v="0"/>
  </r>
  <r>
    <s v="U374"/>
    <s v="S5987"/>
    <x v="175"/>
    <s v="Purchase"/>
    <s v="P784"/>
    <x v="0"/>
    <x v="1"/>
    <x v="0"/>
    <n v="1364"/>
  </r>
  <r>
    <s v="U597"/>
    <s v="S3144"/>
    <x v="176"/>
    <s v="Add_to_Cart"/>
    <s v="P680"/>
    <x v="1"/>
    <x v="1"/>
    <x v="0"/>
    <n v="0"/>
  </r>
  <r>
    <s v="U551"/>
    <s v="S1438"/>
    <x v="177"/>
    <s v="Purchase"/>
    <s v="P446"/>
    <x v="4"/>
    <x v="2"/>
    <x v="0"/>
    <n v="2219"/>
  </r>
  <r>
    <s v="U349"/>
    <s v="S5274"/>
    <x v="178"/>
    <s v="Add_to_Cart"/>
    <s v="P119"/>
    <x v="1"/>
    <x v="2"/>
    <x v="2"/>
    <n v="0"/>
  </r>
  <r>
    <s v="U164"/>
    <s v="S8064"/>
    <x v="179"/>
    <s v="Add_to_Cart"/>
    <s v="P504"/>
    <x v="1"/>
    <x v="0"/>
    <x v="1"/>
    <n v="0"/>
  </r>
  <r>
    <s v="U744"/>
    <s v="S8956"/>
    <x v="180"/>
    <s v="View"/>
    <s v="P449"/>
    <x v="2"/>
    <x v="1"/>
    <x v="3"/>
    <n v="0"/>
  </r>
  <r>
    <s v="U117"/>
    <s v="S5598"/>
    <x v="181"/>
    <s v="Purchase"/>
    <s v="P772"/>
    <x v="0"/>
    <x v="2"/>
    <x v="4"/>
    <n v="3510"/>
  </r>
  <r>
    <s v="U589"/>
    <s v="S9178"/>
    <x v="182"/>
    <s v="View"/>
    <s v="P537"/>
    <x v="0"/>
    <x v="2"/>
    <x v="2"/>
    <n v="0"/>
  </r>
  <r>
    <s v="U245"/>
    <s v="S2152"/>
    <x v="183"/>
    <s v="View"/>
    <s v="P828"/>
    <x v="1"/>
    <x v="2"/>
    <x v="4"/>
    <n v="0"/>
  </r>
  <r>
    <s v="U642"/>
    <s v="S5959"/>
    <x v="184"/>
    <s v="Purchase"/>
    <s v="P179"/>
    <x v="0"/>
    <x v="0"/>
    <x v="3"/>
    <n v="1587"/>
  </r>
  <r>
    <s v="U814"/>
    <s v="S4827"/>
    <x v="185"/>
    <s v="Purchase"/>
    <s v="P462"/>
    <x v="4"/>
    <x v="0"/>
    <x v="0"/>
    <n v="4456"/>
  </r>
  <r>
    <s v="U689"/>
    <s v="S3973"/>
    <x v="186"/>
    <s v="Add_to_Cart"/>
    <s v="P508"/>
    <x v="3"/>
    <x v="0"/>
    <x v="2"/>
    <n v="0"/>
  </r>
  <r>
    <s v="U330"/>
    <s v="S4816"/>
    <x v="187"/>
    <s v="View"/>
    <s v="P864"/>
    <x v="4"/>
    <x v="1"/>
    <x v="1"/>
    <n v="0"/>
  </r>
  <r>
    <s v="U418"/>
    <s v="S5666"/>
    <x v="188"/>
    <s v="Add_to_Cart"/>
    <s v="P728"/>
    <x v="4"/>
    <x v="1"/>
    <x v="2"/>
    <n v="0"/>
  </r>
  <r>
    <s v="U308"/>
    <s v="S1855"/>
    <x v="189"/>
    <s v="Add_to_Cart"/>
    <s v="P939"/>
    <x v="3"/>
    <x v="1"/>
    <x v="2"/>
    <n v="0"/>
  </r>
  <r>
    <s v="U666"/>
    <s v="S1903"/>
    <x v="190"/>
    <s v="View"/>
    <s v="P887"/>
    <x v="0"/>
    <x v="1"/>
    <x v="2"/>
    <n v="0"/>
  </r>
  <r>
    <s v="U821"/>
    <s v="S2196"/>
    <x v="191"/>
    <s v="View"/>
    <s v="P351"/>
    <x v="2"/>
    <x v="2"/>
    <x v="1"/>
    <n v="0"/>
  </r>
  <r>
    <s v="U412"/>
    <s v="S9101"/>
    <x v="192"/>
    <s v="Add_to_Cart"/>
    <s v="P547"/>
    <x v="3"/>
    <x v="2"/>
    <x v="1"/>
    <n v="0"/>
  </r>
  <r>
    <s v="U339"/>
    <s v="S9236"/>
    <x v="193"/>
    <s v="Add_to_Cart"/>
    <s v="P822"/>
    <x v="3"/>
    <x v="2"/>
    <x v="3"/>
    <n v="0"/>
  </r>
  <r>
    <s v="U465"/>
    <s v="S5252"/>
    <x v="194"/>
    <s v="View"/>
    <s v="P990"/>
    <x v="2"/>
    <x v="1"/>
    <x v="1"/>
    <n v="0"/>
  </r>
  <r>
    <s v="U361"/>
    <s v="S6046"/>
    <x v="195"/>
    <s v="Add_to_Cart"/>
    <s v="P987"/>
    <x v="2"/>
    <x v="2"/>
    <x v="4"/>
    <n v="0"/>
  </r>
  <r>
    <s v="U432"/>
    <s v="S9812"/>
    <x v="196"/>
    <s v="View"/>
    <s v="P133"/>
    <x v="1"/>
    <x v="1"/>
    <x v="1"/>
    <n v="0"/>
  </r>
  <r>
    <s v="U605"/>
    <s v="S5290"/>
    <x v="197"/>
    <s v="Purchase"/>
    <s v="P704"/>
    <x v="2"/>
    <x v="2"/>
    <x v="3"/>
    <n v="2267"/>
  </r>
  <r>
    <s v="U120"/>
    <s v="S1654"/>
    <x v="198"/>
    <s v="Add_to_Cart"/>
    <s v="P520"/>
    <x v="0"/>
    <x v="1"/>
    <x v="1"/>
    <n v="0"/>
  </r>
  <r>
    <s v="U214"/>
    <s v="S6660"/>
    <x v="199"/>
    <s v="Purchase"/>
    <s v="P726"/>
    <x v="3"/>
    <x v="2"/>
    <x v="2"/>
    <n v="2542"/>
  </r>
  <r>
    <s v="U537"/>
    <s v="S7201"/>
    <x v="200"/>
    <s v="Purchase"/>
    <s v="P391"/>
    <x v="4"/>
    <x v="1"/>
    <x v="4"/>
    <n v="2677"/>
  </r>
  <r>
    <s v="U642"/>
    <s v="S7397"/>
    <x v="201"/>
    <s v="View"/>
    <s v="P921"/>
    <x v="0"/>
    <x v="2"/>
    <x v="3"/>
    <n v="0"/>
  </r>
  <r>
    <s v="U304"/>
    <s v="S8722"/>
    <x v="202"/>
    <s v="Purchase"/>
    <s v="P105"/>
    <x v="1"/>
    <x v="1"/>
    <x v="0"/>
    <n v="2701"/>
  </r>
  <r>
    <s v="U144"/>
    <s v="S3982"/>
    <x v="203"/>
    <s v="Purchase"/>
    <s v="P680"/>
    <x v="4"/>
    <x v="2"/>
    <x v="4"/>
    <n v="4310"/>
  </r>
  <r>
    <s v="U494"/>
    <s v="S1292"/>
    <x v="204"/>
    <s v="Add_to_Cart"/>
    <s v="P682"/>
    <x v="2"/>
    <x v="1"/>
    <x v="4"/>
    <n v="0"/>
  </r>
  <r>
    <s v="U650"/>
    <s v="S1263"/>
    <x v="205"/>
    <s v="Add_to_Cart"/>
    <s v="P284"/>
    <x v="4"/>
    <x v="2"/>
    <x v="2"/>
    <n v="0"/>
  </r>
  <r>
    <s v="U490"/>
    <s v="S8494"/>
    <x v="206"/>
    <s v="Add_to_Cart"/>
    <s v="P755"/>
    <x v="1"/>
    <x v="0"/>
    <x v="4"/>
    <n v="0"/>
  </r>
  <r>
    <s v="U172"/>
    <s v="S5900"/>
    <x v="207"/>
    <s v="Purchase"/>
    <s v="P100"/>
    <x v="3"/>
    <x v="2"/>
    <x v="0"/>
    <n v="4698"/>
  </r>
  <r>
    <s v="U414"/>
    <s v="S1991"/>
    <x v="208"/>
    <s v="Add_to_Cart"/>
    <s v="P374"/>
    <x v="3"/>
    <x v="1"/>
    <x v="4"/>
    <n v="0"/>
  </r>
  <r>
    <s v="U835"/>
    <s v="S2107"/>
    <x v="209"/>
    <s v="View"/>
    <s v="P141"/>
    <x v="2"/>
    <x v="0"/>
    <x v="2"/>
    <n v="0"/>
  </r>
  <r>
    <s v="U334"/>
    <s v="S8475"/>
    <x v="210"/>
    <s v="Purchase"/>
    <s v="P829"/>
    <x v="0"/>
    <x v="2"/>
    <x v="2"/>
    <n v="2087"/>
  </r>
  <r>
    <s v="U211"/>
    <s v="S2916"/>
    <x v="211"/>
    <s v="Purchase"/>
    <s v="P520"/>
    <x v="1"/>
    <x v="1"/>
    <x v="4"/>
    <n v="1618"/>
  </r>
  <r>
    <s v="U924"/>
    <s v="S5252"/>
    <x v="212"/>
    <s v="View"/>
    <s v="P801"/>
    <x v="4"/>
    <x v="0"/>
    <x v="4"/>
    <n v="0"/>
  </r>
  <r>
    <s v="U960"/>
    <s v="S5584"/>
    <x v="213"/>
    <s v="Add_to_Cart"/>
    <s v="P340"/>
    <x v="3"/>
    <x v="1"/>
    <x v="1"/>
    <n v="0"/>
  </r>
  <r>
    <s v="U574"/>
    <s v="S9485"/>
    <x v="214"/>
    <s v="View"/>
    <s v="P106"/>
    <x v="0"/>
    <x v="0"/>
    <x v="3"/>
    <n v="0"/>
  </r>
  <r>
    <s v="U939"/>
    <s v="S8339"/>
    <x v="215"/>
    <s v="Add_to_Cart"/>
    <s v="P119"/>
    <x v="1"/>
    <x v="2"/>
    <x v="1"/>
    <n v="0"/>
  </r>
  <r>
    <s v="U436"/>
    <s v="S4945"/>
    <x v="216"/>
    <s v="View"/>
    <s v="P812"/>
    <x v="1"/>
    <x v="2"/>
    <x v="1"/>
    <n v="0"/>
  </r>
  <r>
    <s v="U253"/>
    <s v="S7088"/>
    <x v="217"/>
    <s v="View"/>
    <s v="P890"/>
    <x v="4"/>
    <x v="0"/>
    <x v="0"/>
    <n v="0"/>
  </r>
  <r>
    <s v="U393"/>
    <s v="S4594"/>
    <x v="218"/>
    <s v="Add_to_Cart"/>
    <s v="P566"/>
    <x v="3"/>
    <x v="0"/>
    <x v="2"/>
    <n v="0"/>
  </r>
  <r>
    <s v="U889"/>
    <s v="S8844"/>
    <x v="219"/>
    <s v="Purchase"/>
    <s v="P249"/>
    <x v="2"/>
    <x v="1"/>
    <x v="0"/>
    <n v="617"/>
  </r>
  <r>
    <s v="U298"/>
    <s v="S7968"/>
    <x v="220"/>
    <s v="View"/>
    <s v="P694"/>
    <x v="1"/>
    <x v="1"/>
    <x v="0"/>
    <n v="0"/>
  </r>
  <r>
    <s v="U931"/>
    <s v="S7546"/>
    <x v="221"/>
    <s v="Purchase"/>
    <s v="P947"/>
    <x v="4"/>
    <x v="2"/>
    <x v="3"/>
    <n v="1244"/>
  </r>
  <r>
    <s v="U989"/>
    <s v="S2021"/>
    <x v="222"/>
    <s v="View"/>
    <s v="P528"/>
    <x v="3"/>
    <x v="2"/>
    <x v="2"/>
    <n v="0"/>
  </r>
  <r>
    <s v="U992"/>
    <s v="S8938"/>
    <x v="223"/>
    <s v="Add_to_Cart"/>
    <s v="P417"/>
    <x v="0"/>
    <x v="2"/>
    <x v="0"/>
    <n v="0"/>
  </r>
  <r>
    <s v="U537"/>
    <s v="S3346"/>
    <x v="224"/>
    <s v="Purchase"/>
    <s v="P826"/>
    <x v="2"/>
    <x v="0"/>
    <x v="4"/>
    <n v="560"/>
  </r>
  <r>
    <s v="U342"/>
    <s v="S1744"/>
    <x v="225"/>
    <s v="View"/>
    <s v="P498"/>
    <x v="0"/>
    <x v="2"/>
    <x v="2"/>
    <n v="0"/>
  </r>
  <r>
    <s v="U996"/>
    <s v="S9614"/>
    <x v="226"/>
    <s v="View"/>
    <s v="P905"/>
    <x v="2"/>
    <x v="0"/>
    <x v="2"/>
    <n v="0"/>
  </r>
  <r>
    <s v="U357"/>
    <s v="S3559"/>
    <x v="227"/>
    <s v="View"/>
    <s v="P880"/>
    <x v="2"/>
    <x v="0"/>
    <x v="0"/>
    <n v="0"/>
  </r>
  <r>
    <s v="U546"/>
    <s v="S1849"/>
    <x v="228"/>
    <s v="Purchase"/>
    <s v="P332"/>
    <x v="1"/>
    <x v="1"/>
    <x v="1"/>
    <n v="1210"/>
  </r>
  <r>
    <s v="U149"/>
    <s v="S4073"/>
    <x v="229"/>
    <s v="Purchase"/>
    <s v="P516"/>
    <x v="1"/>
    <x v="1"/>
    <x v="1"/>
    <n v="1347"/>
  </r>
  <r>
    <s v="U563"/>
    <s v="S9746"/>
    <x v="230"/>
    <s v="Purchase"/>
    <s v="P367"/>
    <x v="2"/>
    <x v="2"/>
    <x v="1"/>
    <n v="4253"/>
  </r>
  <r>
    <s v="U963"/>
    <s v="S6708"/>
    <x v="231"/>
    <s v="View"/>
    <s v="P802"/>
    <x v="1"/>
    <x v="2"/>
    <x v="0"/>
    <n v="0"/>
  </r>
  <r>
    <s v="U793"/>
    <s v="S2200"/>
    <x v="232"/>
    <s v="View"/>
    <s v="P481"/>
    <x v="3"/>
    <x v="1"/>
    <x v="3"/>
    <n v="0"/>
  </r>
  <r>
    <s v="U362"/>
    <s v="S3089"/>
    <x v="233"/>
    <s v="Add_to_Cart"/>
    <s v="P341"/>
    <x v="3"/>
    <x v="2"/>
    <x v="4"/>
    <n v="0"/>
  </r>
  <r>
    <s v="U336"/>
    <s v="S3209"/>
    <x v="234"/>
    <s v="Purchase"/>
    <s v="P559"/>
    <x v="0"/>
    <x v="2"/>
    <x v="0"/>
    <n v="1753"/>
  </r>
  <r>
    <s v="U573"/>
    <s v="S6487"/>
    <x v="235"/>
    <s v="View"/>
    <s v="P766"/>
    <x v="3"/>
    <x v="0"/>
    <x v="2"/>
    <n v="0"/>
  </r>
  <r>
    <s v="U478"/>
    <s v="S1160"/>
    <x v="236"/>
    <s v="View"/>
    <s v="P365"/>
    <x v="3"/>
    <x v="0"/>
    <x v="2"/>
    <n v="0"/>
  </r>
  <r>
    <s v="U403"/>
    <s v="S7556"/>
    <x v="237"/>
    <s v="Purchase"/>
    <s v="P510"/>
    <x v="4"/>
    <x v="2"/>
    <x v="3"/>
    <n v="4216"/>
  </r>
  <r>
    <s v="U418"/>
    <s v="S7645"/>
    <x v="238"/>
    <s v="Purchase"/>
    <s v="P914"/>
    <x v="0"/>
    <x v="2"/>
    <x v="4"/>
    <n v="2735"/>
  </r>
  <r>
    <s v="U659"/>
    <s v="S7118"/>
    <x v="239"/>
    <s v="View"/>
    <s v="P210"/>
    <x v="0"/>
    <x v="0"/>
    <x v="2"/>
    <n v="0"/>
  </r>
  <r>
    <s v="U126"/>
    <s v="S7444"/>
    <x v="240"/>
    <s v="Add_to_Cart"/>
    <s v="P785"/>
    <x v="2"/>
    <x v="0"/>
    <x v="3"/>
    <n v="0"/>
  </r>
  <r>
    <s v="U680"/>
    <s v="S9591"/>
    <x v="241"/>
    <s v="View"/>
    <s v="P345"/>
    <x v="0"/>
    <x v="2"/>
    <x v="1"/>
    <n v="0"/>
  </r>
  <r>
    <s v="U478"/>
    <s v="S9172"/>
    <x v="242"/>
    <s v="Purchase"/>
    <s v="P473"/>
    <x v="2"/>
    <x v="0"/>
    <x v="4"/>
    <n v="2199"/>
  </r>
  <r>
    <s v="U944"/>
    <s v="S6814"/>
    <x v="243"/>
    <s v="Purchase"/>
    <s v="P595"/>
    <x v="4"/>
    <x v="1"/>
    <x v="4"/>
    <n v="835"/>
  </r>
  <r>
    <s v="U285"/>
    <s v="S7963"/>
    <x v="244"/>
    <s v="View"/>
    <s v="P281"/>
    <x v="0"/>
    <x v="2"/>
    <x v="2"/>
    <n v="0"/>
  </r>
  <r>
    <s v="U417"/>
    <s v="S9883"/>
    <x v="245"/>
    <s v="View"/>
    <s v="P933"/>
    <x v="3"/>
    <x v="1"/>
    <x v="1"/>
    <n v="0"/>
  </r>
  <r>
    <s v="U983"/>
    <s v="S8352"/>
    <x v="246"/>
    <s v="View"/>
    <s v="P552"/>
    <x v="3"/>
    <x v="1"/>
    <x v="2"/>
    <n v="0"/>
  </r>
  <r>
    <s v="U142"/>
    <s v="S9084"/>
    <x v="247"/>
    <s v="Purchase"/>
    <s v="P325"/>
    <x v="4"/>
    <x v="0"/>
    <x v="3"/>
    <n v="3730"/>
  </r>
  <r>
    <s v="U483"/>
    <s v="S1312"/>
    <x v="248"/>
    <s v="Add_to_Cart"/>
    <s v="P246"/>
    <x v="0"/>
    <x v="0"/>
    <x v="4"/>
    <n v="0"/>
  </r>
  <r>
    <s v="U779"/>
    <s v="S9169"/>
    <x v="249"/>
    <s v="Add_to_Cart"/>
    <s v="P124"/>
    <x v="4"/>
    <x v="0"/>
    <x v="2"/>
    <n v="0"/>
  </r>
  <r>
    <s v="U601"/>
    <s v="S3982"/>
    <x v="250"/>
    <s v="Purchase"/>
    <s v="P218"/>
    <x v="2"/>
    <x v="1"/>
    <x v="4"/>
    <n v="1697"/>
  </r>
  <r>
    <s v="U302"/>
    <s v="S1264"/>
    <x v="251"/>
    <s v="Add_to_Cart"/>
    <s v="P793"/>
    <x v="2"/>
    <x v="0"/>
    <x v="1"/>
    <n v="0"/>
  </r>
  <r>
    <s v="U681"/>
    <s v="S4072"/>
    <x v="252"/>
    <s v="Purchase"/>
    <s v="P221"/>
    <x v="2"/>
    <x v="2"/>
    <x v="3"/>
    <n v="710"/>
  </r>
  <r>
    <s v="U670"/>
    <s v="S7036"/>
    <x v="253"/>
    <s v="View"/>
    <s v="P697"/>
    <x v="0"/>
    <x v="2"/>
    <x v="2"/>
    <n v="0"/>
  </r>
  <r>
    <s v="U191"/>
    <s v="S5709"/>
    <x v="254"/>
    <s v="Purchase"/>
    <s v="P604"/>
    <x v="3"/>
    <x v="2"/>
    <x v="2"/>
    <n v="3449"/>
  </r>
  <r>
    <s v="U449"/>
    <s v="S1700"/>
    <x v="255"/>
    <s v="View"/>
    <s v="P328"/>
    <x v="4"/>
    <x v="1"/>
    <x v="2"/>
    <n v="0"/>
  </r>
  <r>
    <s v="U548"/>
    <s v="S8433"/>
    <x v="256"/>
    <s v="Purchase"/>
    <s v="P210"/>
    <x v="2"/>
    <x v="1"/>
    <x v="2"/>
    <n v="4946"/>
  </r>
  <r>
    <s v="U246"/>
    <s v="S9237"/>
    <x v="257"/>
    <s v="View"/>
    <s v="P239"/>
    <x v="1"/>
    <x v="0"/>
    <x v="2"/>
    <n v="0"/>
  </r>
  <r>
    <s v="U712"/>
    <s v="S9657"/>
    <x v="258"/>
    <s v="View"/>
    <s v="P582"/>
    <x v="0"/>
    <x v="2"/>
    <x v="2"/>
    <n v="0"/>
  </r>
  <r>
    <s v="U736"/>
    <s v="S6836"/>
    <x v="259"/>
    <s v="Add_to_Cart"/>
    <s v="P647"/>
    <x v="0"/>
    <x v="2"/>
    <x v="2"/>
    <n v="0"/>
  </r>
  <r>
    <s v="U474"/>
    <s v="S8480"/>
    <x v="260"/>
    <s v="Purchase"/>
    <s v="P343"/>
    <x v="1"/>
    <x v="0"/>
    <x v="3"/>
    <n v="4789"/>
  </r>
  <r>
    <s v="U556"/>
    <s v="S4854"/>
    <x v="261"/>
    <s v="Add_to_Cart"/>
    <s v="P468"/>
    <x v="1"/>
    <x v="2"/>
    <x v="2"/>
    <n v="0"/>
  </r>
  <r>
    <s v="U595"/>
    <s v="S5695"/>
    <x v="262"/>
    <s v="Purchase"/>
    <s v="P192"/>
    <x v="1"/>
    <x v="0"/>
    <x v="0"/>
    <n v="572"/>
  </r>
  <r>
    <s v="U179"/>
    <s v="S9453"/>
    <x v="263"/>
    <s v="Purchase"/>
    <s v="P939"/>
    <x v="0"/>
    <x v="1"/>
    <x v="0"/>
    <n v="2536"/>
  </r>
  <r>
    <s v="U184"/>
    <s v="S4613"/>
    <x v="264"/>
    <s v="Purchase"/>
    <s v="P193"/>
    <x v="4"/>
    <x v="1"/>
    <x v="3"/>
    <n v="1722"/>
  </r>
  <r>
    <s v="U904"/>
    <s v="S9108"/>
    <x v="265"/>
    <s v="Add_to_Cart"/>
    <s v="P637"/>
    <x v="3"/>
    <x v="2"/>
    <x v="4"/>
    <n v="0"/>
  </r>
  <r>
    <s v="U926"/>
    <s v="S6159"/>
    <x v="266"/>
    <s v="Add_to_Cart"/>
    <s v="P524"/>
    <x v="3"/>
    <x v="2"/>
    <x v="2"/>
    <n v="0"/>
  </r>
  <r>
    <s v="U364"/>
    <s v="S1849"/>
    <x v="267"/>
    <s v="Purchase"/>
    <s v="P167"/>
    <x v="4"/>
    <x v="2"/>
    <x v="1"/>
    <n v="4511"/>
  </r>
  <r>
    <s v="U103"/>
    <s v="S5359"/>
    <x v="268"/>
    <s v="View"/>
    <s v="P759"/>
    <x v="2"/>
    <x v="1"/>
    <x v="3"/>
    <n v="0"/>
  </r>
  <r>
    <s v="U310"/>
    <s v="S3396"/>
    <x v="269"/>
    <s v="Purchase"/>
    <s v="P214"/>
    <x v="2"/>
    <x v="2"/>
    <x v="3"/>
    <n v="414"/>
  </r>
  <r>
    <s v="U900"/>
    <s v="S6413"/>
    <x v="270"/>
    <s v="View"/>
    <s v="P641"/>
    <x v="2"/>
    <x v="2"/>
    <x v="0"/>
    <n v="0"/>
  </r>
  <r>
    <s v="U497"/>
    <s v="S4040"/>
    <x v="271"/>
    <s v="Purchase"/>
    <s v="P923"/>
    <x v="0"/>
    <x v="2"/>
    <x v="2"/>
    <n v="1831"/>
  </r>
  <r>
    <s v="U162"/>
    <s v="S1687"/>
    <x v="272"/>
    <s v="Purchase"/>
    <s v="P284"/>
    <x v="4"/>
    <x v="2"/>
    <x v="1"/>
    <n v="4070"/>
  </r>
  <r>
    <s v="U857"/>
    <s v="S6851"/>
    <x v="273"/>
    <s v="Add_to_Cart"/>
    <s v="P233"/>
    <x v="1"/>
    <x v="0"/>
    <x v="3"/>
    <n v="0"/>
  </r>
  <r>
    <s v="U880"/>
    <s v="S4057"/>
    <x v="274"/>
    <s v="Purchase"/>
    <s v="P110"/>
    <x v="3"/>
    <x v="2"/>
    <x v="3"/>
    <n v="622"/>
  </r>
  <r>
    <s v="U990"/>
    <s v="S6512"/>
    <x v="275"/>
    <s v="Purchase"/>
    <s v="P190"/>
    <x v="3"/>
    <x v="2"/>
    <x v="0"/>
    <n v="1205"/>
  </r>
  <r>
    <s v="U399"/>
    <s v="S1012"/>
    <x v="276"/>
    <s v="Add_to_Cart"/>
    <s v="P949"/>
    <x v="0"/>
    <x v="1"/>
    <x v="0"/>
    <n v="0"/>
  </r>
  <r>
    <s v="U188"/>
    <s v="S7194"/>
    <x v="277"/>
    <s v="Add_to_Cart"/>
    <s v="P161"/>
    <x v="1"/>
    <x v="2"/>
    <x v="4"/>
    <n v="0"/>
  </r>
  <r>
    <s v="U470"/>
    <s v="S7249"/>
    <x v="278"/>
    <s v="View"/>
    <s v="P530"/>
    <x v="2"/>
    <x v="1"/>
    <x v="0"/>
    <n v="0"/>
  </r>
  <r>
    <s v="U116"/>
    <s v="S4101"/>
    <x v="279"/>
    <s v="Purchase"/>
    <s v="P926"/>
    <x v="0"/>
    <x v="2"/>
    <x v="2"/>
    <n v="305"/>
  </r>
  <r>
    <s v="U102"/>
    <s v="S5667"/>
    <x v="280"/>
    <s v="View"/>
    <s v="P679"/>
    <x v="2"/>
    <x v="1"/>
    <x v="3"/>
    <n v="0"/>
  </r>
  <r>
    <s v="U420"/>
    <s v="S6338"/>
    <x v="281"/>
    <s v="Purchase"/>
    <s v="P163"/>
    <x v="0"/>
    <x v="2"/>
    <x v="4"/>
    <n v="1875"/>
  </r>
  <r>
    <s v="U809"/>
    <s v="S9276"/>
    <x v="282"/>
    <s v="Purchase"/>
    <s v="P898"/>
    <x v="0"/>
    <x v="0"/>
    <x v="1"/>
    <n v="2736"/>
  </r>
  <r>
    <s v="U999"/>
    <s v="S2347"/>
    <x v="283"/>
    <s v="Add_to_Cart"/>
    <s v="P226"/>
    <x v="4"/>
    <x v="2"/>
    <x v="4"/>
    <n v="0"/>
  </r>
  <r>
    <s v="U960"/>
    <s v="S2244"/>
    <x v="284"/>
    <s v="Purchase"/>
    <s v="P439"/>
    <x v="4"/>
    <x v="0"/>
    <x v="0"/>
    <n v="716"/>
  </r>
  <r>
    <s v="U966"/>
    <s v="S9262"/>
    <x v="285"/>
    <s v="Add_to_Cart"/>
    <s v="P883"/>
    <x v="2"/>
    <x v="2"/>
    <x v="2"/>
    <n v="0"/>
  </r>
  <r>
    <s v="U523"/>
    <s v="S9390"/>
    <x v="286"/>
    <s v="View"/>
    <s v="P589"/>
    <x v="0"/>
    <x v="0"/>
    <x v="1"/>
    <n v="0"/>
  </r>
  <r>
    <s v="U999"/>
    <s v="S3037"/>
    <x v="287"/>
    <s v="Add_to_Cart"/>
    <s v="P354"/>
    <x v="2"/>
    <x v="2"/>
    <x v="0"/>
    <n v="0"/>
  </r>
  <r>
    <s v="U744"/>
    <s v="S9121"/>
    <x v="288"/>
    <s v="Purchase"/>
    <s v="P633"/>
    <x v="4"/>
    <x v="2"/>
    <x v="1"/>
    <n v="4593"/>
  </r>
  <r>
    <s v="U384"/>
    <s v="S4428"/>
    <x v="289"/>
    <s v="Purchase"/>
    <s v="P934"/>
    <x v="3"/>
    <x v="2"/>
    <x v="3"/>
    <n v="4063"/>
  </r>
  <r>
    <s v="U236"/>
    <s v="S7131"/>
    <x v="290"/>
    <s v="Add_to_Cart"/>
    <s v="P176"/>
    <x v="2"/>
    <x v="0"/>
    <x v="4"/>
    <n v="0"/>
  </r>
  <r>
    <s v="U631"/>
    <s v="S1360"/>
    <x v="291"/>
    <s v="Purchase"/>
    <s v="P406"/>
    <x v="0"/>
    <x v="2"/>
    <x v="3"/>
    <n v="1602"/>
  </r>
  <r>
    <s v="U402"/>
    <s v="S6602"/>
    <x v="292"/>
    <s v="Add_to_Cart"/>
    <s v="P691"/>
    <x v="2"/>
    <x v="0"/>
    <x v="1"/>
    <n v="0"/>
  </r>
  <r>
    <s v="U227"/>
    <s v="S5494"/>
    <x v="293"/>
    <s v="Purchase"/>
    <s v="P846"/>
    <x v="1"/>
    <x v="2"/>
    <x v="0"/>
    <n v="750"/>
  </r>
  <r>
    <s v="U947"/>
    <s v="S7043"/>
    <x v="294"/>
    <s v="Purchase"/>
    <s v="P375"/>
    <x v="1"/>
    <x v="0"/>
    <x v="4"/>
    <n v="2065"/>
  </r>
  <r>
    <s v="U875"/>
    <s v="S6319"/>
    <x v="295"/>
    <s v="Purchase"/>
    <s v="P473"/>
    <x v="0"/>
    <x v="2"/>
    <x v="2"/>
    <n v="1565"/>
  </r>
  <r>
    <s v="U912"/>
    <s v="S2658"/>
    <x v="7"/>
    <s v="Add_to_Cart"/>
    <s v="P746"/>
    <x v="0"/>
    <x v="1"/>
    <x v="3"/>
    <n v="0"/>
  </r>
  <r>
    <s v="U924"/>
    <s v="S2090"/>
    <x v="296"/>
    <s v="Purchase"/>
    <s v="P325"/>
    <x v="2"/>
    <x v="2"/>
    <x v="2"/>
    <n v="2520"/>
  </r>
  <r>
    <s v="U192"/>
    <s v="S9856"/>
    <x v="297"/>
    <s v="Add_to_Cart"/>
    <s v="P105"/>
    <x v="4"/>
    <x v="0"/>
    <x v="3"/>
    <n v="0"/>
  </r>
  <r>
    <s v="U107"/>
    <s v="S1493"/>
    <x v="298"/>
    <s v="Purchase"/>
    <s v="P742"/>
    <x v="3"/>
    <x v="2"/>
    <x v="0"/>
    <n v="3630"/>
  </r>
  <r>
    <s v="U335"/>
    <s v="S8469"/>
    <x v="299"/>
    <s v="Purchase"/>
    <s v="P710"/>
    <x v="3"/>
    <x v="1"/>
    <x v="3"/>
    <n v="2971"/>
  </r>
  <r>
    <s v="U255"/>
    <s v="S7093"/>
    <x v="300"/>
    <s v="View"/>
    <s v="P985"/>
    <x v="1"/>
    <x v="2"/>
    <x v="3"/>
    <n v="0"/>
  </r>
  <r>
    <s v="U286"/>
    <s v="S5542"/>
    <x v="301"/>
    <s v="Purchase"/>
    <s v="P936"/>
    <x v="2"/>
    <x v="2"/>
    <x v="3"/>
    <n v="2177"/>
  </r>
  <r>
    <s v="U837"/>
    <s v="S9132"/>
    <x v="302"/>
    <s v="Add_to_Cart"/>
    <s v="P135"/>
    <x v="4"/>
    <x v="1"/>
    <x v="1"/>
    <n v="0"/>
  </r>
  <r>
    <s v="U892"/>
    <s v="S6626"/>
    <x v="303"/>
    <s v="Add_to_Cart"/>
    <s v="P251"/>
    <x v="3"/>
    <x v="2"/>
    <x v="2"/>
    <n v="0"/>
  </r>
  <r>
    <s v="U689"/>
    <s v="S3794"/>
    <x v="304"/>
    <s v="Add_to_Cart"/>
    <s v="P251"/>
    <x v="3"/>
    <x v="1"/>
    <x v="0"/>
    <n v="0"/>
  </r>
  <r>
    <s v="U957"/>
    <s v="S2724"/>
    <x v="305"/>
    <s v="Purchase"/>
    <s v="P213"/>
    <x v="1"/>
    <x v="2"/>
    <x v="4"/>
    <n v="1068"/>
  </r>
  <r>
    <s v="U190"/>
    <s v="S3711"/>
    <x v="306"/>
    <s v="View"/>
    <s v="P963"/>
    <x v="1"/>
    <x v="0"/>
    <x v="1"/>
    <n v="0"/>
  </r>
  <r>
    <s v="U620"/>
    <s v="S7652"/>
    <x v="307"/>
    <s v="View"/>
    <s v="P124"/>
    <x v="3"/>
    <x v="1"/>
    <x v="0"/>
    <n v="0"/>
  </r>
  <r>
    <s v="U912"/>
    <s v="S9245"/>
    <x v="308"/>
    <s v="Add_to_Cart"/>
    <s v="P637"/>
    <x v="3"/>
    <x v="1"/>
    <x v="2"/>
    <n v="0"/>
  </r>
  <r>
    <s v="U572"/>
    <s v="S6088"/>
    <x v="309"/>
    <s v="Purchase"/>
    <s v="P623"/>
    <x v="0"/>
    <x v="1"/>
    <x v="2"/>
    <n v="2486"/>
  </r>
  <r>
    <s v="U964"/>
    <s v="S6527"/>
    <x v="310"/>
    <s v="View"/>
    <s v="P437"/>
    <x v="4"/>
    <x v="1"/>
    <x v="0"/>
    <n v="0"/>
  </r>
  <r>
    <s v="U821"/>
    <s v="S5916"/>
    <x v="311"/>
    <s v="View"/>
    <s v="P189"/>
    <x v="1"/>
    <x v="1"/>
    <x v="1"/>
    <n v="0"/>
  </r>
  <r>
    <s v="U493"/>
    <s v="S4326"/>
    <x v="312"/>
    <s v="Purchase"/>
    <s v="P666"/>
    <x v="3"/>
    <x v="2"/>
    <x v="2"/>
    <n v="944"/>
  </r>
  <r>
    <s v="U400"/>
    <s v="S1653"/>
    <x v="313"/>
    <s v="Purchase"/>
    <s v="P895"/>
    <x v="1"/>
    <x v="1"/>
    <x v="1"/>
    <n v="4646"/>
  </r>
  <r>
    <s v="U530"/>
    <s v="S1462"/>
    <x v="314"/>
    <s v="Purchase"/>
    <s v="P262"/>
    <x v="2"/>
    <x v="1"/>
    <x v="1"/>
    <n v="1304"/>
  </r>
  <r>
    <s v="U284"/>
    <s v="S8966"/>
    <x v="315"/>
    <s v="Purchase"/>
    <s v="P176"/>
    <x v="4"/>
    <x v="0"/>
    <x v="0"/>
    <n v="827"/>
  </r>
  <r>
    <s v="U893"/>
    <s v="S8510"/>
    <x v="316"/>
    <s v="View"/>
    <s v="P151"/>
    <x v="2"/>
    <x v="0"/>
    <x v="0"/>
    <n v="0"/>
  </r>
  <r>
    <s v="U536"/>
    <s v="S9180"/>
    <x v="317"/>
    <s v="Add_to_Cart"/>
    <s v="P177"/>
    <x v="1"/>
    <x v="0"/>
    <x v="4"/>
    <n v="0"/>
  </r>
  <r>
    <s v="U508"/>
    <s v="S9409"/>
    <x v="318"/>
    <s v="Purchase"/>
    <s v="P990"/>
    <x v="3"/>
    <x v="0"/>
    <x v="3"/>
    <n v="2526"/>
  </r>
  <r>
    <s v="U351"/>
    <s v="S4896"/>
    <x v="319"/>
    <s v="Purchase"/>
    <s v="P439"/>
    <x v="2"/>
    <x v="2"/>
    <x v="3"/>
    <n v="1549"/>
  </r>
  <r>
    <s v="U828"/>
    <s v="S9516"/>
    <x v="320"/>
    <s v="Purchase"/>
    <s v="P224"/>
    <x v="2"/>
    <x v="2"/>
    <x v="4"/>
    <n v="1085"/>
  </r>
  <r>
    <s v="U624"/>
    <s v="S6852"/>
    <x v="321"/>
    <s v="Purchase"/>
    <s v="P736"/>
    <x v="0"/>
    <x v="1"/>
    <x v="4"/>
    <n v="325"/>
  </r>
  <r>
    <s v="U523"/>
    <s v="S3581"/>
    <x v="322"/>
    <s v="Purchase"/>
    <s v="P811"/>
    <x v="1"/>
    <x v="2"/>
    <x v="1"/>
    <n v="2469"/>
  </r>
  <r>
    <s v="U312"/>
    <s v="S4620"/>
    <x v="323"/>
    <s v="Add_to_Cart"/>
    <s v="P284"/>
    <x v="2"/>
    <x v="2"/>
    <x v="3"/>
    <n v="0"/>
  </r>
  <r>
    <s v="U899"/>
    <s v="S9312"/>
    <x v="324"/>
    <s v="View"/>
    <s v="P810"/>
    <x v="3"/>
    <x v="2"/>
    <x v="3"/>
    <n v="0"/>
  </r>
  <r>
    <s v="U832"/>
    <s v="S4817"/>
    <x v="325"/>
    <s v="View"/>
    <s v="P719"/>
    <x v="4"/>
    <x v="2"/>
    <x v="1"/>
    <n v="0"/>
  </r>
  <r>
    <s v="U493"/>
    <s v="S9577"/>
    <x v="326"/>
    <s v="Purchase"/>
    <s v="P419"/>
    <x v="0"/>
    <x v="0"/>
    <x v="1"/>
    <n v="3195"/>
  </r>
  <r>
    <s v="U425"/>
    <s v="S2741"/>
    <x v="327"/>
    <s v="Add_to_Cart"/>
    <s v="P677"/>
    <x v="1"/>
    <x v="2"/>
    <x v="3"/>
    <n v="0"/>
  </r>
  <r>
    <s v="U743"/>
    <s v="S3085"/>
    <x v="328"/>
    <s v="Purchase"/>
    <s v="P300"/>
    <x v="1"/>
    <x v="1"/>
    <x v="4"/>
    <n v="1122"/>
  </r>
  <r>
    <s v="U423"/>
    <s v="S3600"/>
    <x v="329"/>
    <s v="View"/>
    <s v="P984"/>
    <x v="0"/>
    <x v="0"/>
    <x v="0"/>
    <n v="0"/>
  </r>
  <r>
    <s v="U660"/>
    <s v="S1849"/>
    <x v="330"/>
    <s v="Add_to_Cart"/>
    <s v="P411"/>
    <x v="0"/>
    <x v="0"/>
    <x v="3"/>
    <n v="0"/>
  </r>
  <r>
    <s v="U974"/>
    <s v="S8126"/>
    <x v="331"/>
    <s v="View"/>
    <s v="P454"/>
    <x v="1"/>
    <x v="1"/>
    <x v="3"/>
    <n v="0"/>
  </r>
  <r>
    <s v="U904"/>
    <s v="S1301"/>
    <x v="332"/>
    <s v="View"/>
    <s v="P317"/>
    <x v="4"/>
    <x v="0"/>
    <x v="3"/>
    <n v="0"/>
  </r>
  <r>
    <s v="U920"/>
    <s v="S6480"/>
    <x v="333"/>
    <s v="Add_to_Cart"/>
    <s v="P355"/>
    <x v="2"/>
    <x v="0"/>
    <x v="3"/>
    <n v="0"/>
  </r>
  <r>
    <s v="U293"/>
    <s v="S5965"/>
    <x v="334"/>
    <s v="Add_to_Cart"/>
    <s v="P472"/>
    <x v="3"/>
    <x v="1"/>
    <x v="2"/>
    <n v="0"/>
  </r>
  <r>
    <s v="U293"/>
    <s v="S1635"/>
    <x v="335"/>
    <s v="Purchase"/>
    <s v="P920"/>
    <x v="4"/>
    <x v="1"/>
    <x v="1"/>
    <n v="4808"/>
  </r>
  <r>
    <s v="U769"/>
    <s v="S7268"/>
    <x v="336"/>
    <s v="View"/>
    <s v="P525"/>
    <x v="3"/>
    <x v="2"/>
    <x v="3"/>
    <n v="0"/>
  </r>
  <r>
    <s v="U496"/>
    <s v="S7374"/>
    <x v="337"/>
    <s v="Add_to_Cart"/>
    <s v="P207"/>
    <x v="1"/>
    <x v="2"/>
    <x v="3"/>
    <n v="0"/>
  </r>
  <r>
    <s v="U116"/>
    <s v="S9783"/>
    <x v="338"/>
    <s v="Purchase"/>
    <s v="P225"/>
    <x v="4"/>
    <x v="0"/>
    <x v="3"/>
    <n v="4968"/>
  </r>
  <r>
    <s v="U959"/>
    <s v="S2726"/>
    <x v="339"/>
    <s v="Add_to_Cart"/>
    <s v="P840"/>
    <x v="3"/>
    <x v="1"/>
    <x v="4"/>
    <n v="0"/>
  </r>
  <r>
    <s v="U553"/>
    <s v="S7215"/>
    <x v="340"/>
    <s v="Purchase"/>
    <s v="P150"/>
    <x v="2"/>
    <x v="2"/>
    <x v="2"/>
    <n v="3946"/>
  </r>
  <r>
    <s v="U535"/>
    <s v="S8532"/>
    <x v="341"/>
    <s v="View"/>
    <s v="P202"/>
    <x v="2"/>
    <x v="2"/>
    <x v="2"/>
    <n v="0"/>
  </r>
  <r>
    <s v="U502"/>
    <s v="S1294"/>
    <x v="342"/>
    <s v="Add_to_Cart"/>
    <s v="P798"/>
    <x v="1"/>
    <x v="2"/>
    <x v="2"/>
    <n v="0"/>
  </r>
  <r>
    <s v="U927"/>
    <s v="S7815"/>
    <x v="343"/>
    <s v="Add_to_Cart"/>
    <s v="P121"/>
    <x v="2"/>
    <x v="2"/>
    <x v="1"/>
    <n v="0"/>
  </r>
  <r>
    <s v="U209"/>
    <s v="S5743"/>
    <x v="344"/>
    <s v="Purchase"/>
    <s v="P882"/>
    <x v="0"/>
    <x v="1"/>
    <x v="0"/>
    <n v="3617"/>
  </r>
  <r>
    <s v="U499"/>
    <s v="S2956"/>
    <x v="345"/>
    <s v="Purchase"/>
    <s v="P306"/>
    <x v="0"/>
    <x v="2"/>
    <x v="0"/>
    <n v="1327"/>
  </r>
  <r>
    <s v="U478"/>
    <s v="S4902"/>
    <x v="346"/>
    <s v="View"/>
    <s v="P911"/>
    <x v="4"/>
    <x v="2"/>
    <x v="2"/>
    <n v="0"/>
  </r>
  <r>
    <s v="U451"/>
    <s v="S8536"/>
    <x v="347"/>
    <s v="View"/>
    <s v="P703"/>
    <x v="0"/>
    <x v="1"/>
    <x v="3"/>
    <n v="0"/>
  </r>
  <r>
    <s v="U512"/>
    <s v="S5744"/>
    <x v="348"/>
    <s v="Add_to_Cart"/>
    <s v="P986"/>
    <x v="4"/>
    <x v="0"/>
    <x v="4"/>
    <n v="0"/>
  </r>
  <r>
    <s v="U309"/>
    <s v="S8944"/>
    <x v="349"/>
    <s v="View"/>
    <s v="P820"/>
    <x v="1"/>
    <x v="1"/>
    <x v="4"/>
    <n v="0"/>
  </r>
  <r>
    <s v="U416"/>
    <s v="S8024"/>
    <x v="350"/>
    <s v="Add_to_Cart"/>
    <s v="P548"/>
    <x v="3"/>
    <x v="2"/>
    <x v="3"/>
    <n v="0"/>
  </r>
  <r>
    <s v="U321"/>
    <s v="S2094"/>
    <x v="351"/>
    <s v="Purchase"/>
    <s v="P703"/>
    <x v="0"/>
    <x v="0"/>
    <x v="2"/>
    <n v="3890"/>
  </r>
  <r>
    <s v="U744"/>
    <s v="S3345"/>
    <x v="352"/>
    <s v="Add_to_Cart"/>
    <s v="P583"/>
    <x v="3"/>
    <x v="0"/>
    <x v="1"/>
    <n v="0"/>
  </r>
  <r>
    <s v="U966"/>
    <s v="S3962"/>
    <x v="353"/>
    <s v="Add_to_Cart"/>
    <s v="P125"/>
    <x v="0"/>
    <x v="0"/>
    <x v="2"/>
    <n v="0"/>
  </r>
  <r>
    <s v="U967"/>
    <s v="S3991"/>
    <x v="354"/>
    <s v="Add_to_Cart"/>
    <s v="P511"/>
    <x v="3"/>
    <x v="2"/>
    <x v="0"/>
    <n v="0"/>
  </r>
  <r>
    <s v="U536"/>
    <s v="S9061"/>
    <x v="355"/>
    <s v="Purchase"/>
    <s v="P760"/>
    <x v="4"/>
    <x v="2"/>
    <x v="4"/>
    <n v="3797"/>
  </r>
  <r>
    <s v="U797"/>
    <s v="S2791"/>
    <x v="356"/>
    <s v="View"/>
    <s v="P823"/>
    <x v="1"/>
    <x v="2"/>
    <x v="0"/>
    <n v="0"/>
  </r>
  <r>
    <s v="U440"/>
    <s v="S7025"/>
    <x v="357"/>
    <s v="Add_to_Cart"/>
    <s v="P153"/>
    <x v="4"/>
    <x v="0"/>
    <x v="3"/>
    <n v="0"/>
  </r>
  <r>
    <s v="U470"/>
    <s v="S3643"/>
    <x v="358"/>
    <s v="Add_to_Cart"/>
    <s v="P414"/>
    <x v="4"/>
    <x v="1"/>
    <x v="1"/>
    <n v="0"/>
  </r>
  <r>
    <s v="U271"/>
    <s v="S9907"/>
    <x v="359"/>
    <s v="Add_to_Cart"/>
    <s v="P687"/>
    <x v="4"/>
    <x v="0"/>
    <x v="0"/>
    <n v="0"/>
  </r>
  <r>
    <s v="U840"/>
    <s v="S7313"/>
    <x v="360"/>
    <s v="View"/>
    <s v="P217"/>
    <x v="3"/>
    <x v="0"/>
    <x v="0"/>
    <n v="0"/>
  </r>
  <r>
    <s v="U981"/>
    <s v="S1187"/>
    <x v="361"/>
    <s v="View"/>
    <s v="P871"/>
    <x v="3"/>
    <x v="1"/>
    <x v="2"/>
    <n v="0"/>
  </r>
  <r>
    <s v="U969"/>
    <s v="S7631"/>
    <x v="362"/>
    <s v="Add_to_Cart"/>
    <s v="P822"/>
    <x v="4"/>
    <x v="1"/>
    <x v="1"/>
    <n v="0"/>
  </r>
  <r>
    <s v="U267"/>
    <s v="S9079"/>
    <x v="363"/>
    <s v="Add_to_Cart"/>
    <s v="P781"/>
    <x v="3"/>
    <x v="1"/>
    <x v="1"/>
    <n v="0"/>
  </r>
  <r>
    <s v="U947"/>
    <s v="S9602"/>
    <x v="364"/>
    <s v="Purchase"/>
    <s v="P601"/>
    <x v="1"/>
    <x v="2"/>
    <x v="1"/>
    <n v="914"/>
  </r>
  <r>
    <s v="U954"/>
    <s v="S5559"/>
    <x v="365"/>
    <s v="View"/>
    <s v="P551"/>
    <x v="2"/>
    <x v="2"/>
    <x v="0"/>
    <n v="0"/>
  </r>
  <r>
    <s v="U641"/>
    <s v="S7902"/>
    <x v="366"/>
    <s v="Purchase"/>
    <s v="P405"/>
    <x v="3"/>
    <x v="0"/>
    <x v="3"/>
    <n v="3483"/>
  </r>
  <r>
    <s v="U128"/>
    <s v="S9111"/>
    <x v="367"/>
    <s v="Purchase"/>
    <s v="P101"/>
    <x v="2"/>
    <x v="1"/>
    <x v="4"/>
    <n v="3317"/>
  </r>
  <r>
    <s v="U961"/>
    <s v="S5550"/>
    <x v="368"/>
    <s v="Add_to_Cart"/>
    <s v="P544"/>
    <x v="2"/>
    <x v="0"/>
    <x v="0"/>
    <n v="0"/>
  </r>
  <r>
    <s v="U598"/>
    <s v="S2792"/>
    <x v="369"/>
    <s v="Add_to_Cart"/>
    <s v="P452"/>
    <x v="1"/>
    <x v="2"/>
    <x v="2"/>
    <n v="0"/>
  </r>
  <r>
    <s v="U830"/>
    <s v="S6783"/>
    <x v="370"/>
    <s v="View"/>
    <s v="P612"/>
    <x v="4"/>
    <x v="0"/>
    <x v="2"/>
    <n v="0"/>
  </r>
  <r>
    <s v="U576"/>
    <s v="S9066"/>
    <x v="371"/>
    <s v="Purchase"/>
    <s v="P107"/>
    <x v="0"/>
    <x v="0"/>
    <x v="4"/>
    <n v="4868"/>
  </r>
  <r>
    <s v="U319"/>
    <s v="S3020"/>
    <x v="372"/>
    <s v="Purchase"/>
    <s v="P938"/>
    <x v="2"/>
    <x v="0"/>
    <x v="1"/>
    <n v="1817"/>
  </r>
  <r>
    <s v="U537"/>
    <s v="S5815"/>
    <x v="373"/>
    <s v="Purchase"/>
    <s v="P221"/>
    <x v="1"/>
    <x v="0"/>
    <x v="3"/>
    <n v="4997"/>
  </r>
  <r>
    <s v="U381"/>
    <s v="S3842"/>
    <x v="374"/>
    <s v="Purchase"/>
    <s v="P488"/>
    <x v="3"/>
    <x v="2"/>
    <x v="3"/>
    <n v="4928"/>
  </r>
  <r>
    <s v="U417"/>
    <s v="S2672"/>
    <x v="375"/>
    <s v="View"/>
    <s v="P318"/>
    <x v="3"/>
    <x v="0"/>
    <x v="1"/>
    <n v="0"/>
  </r>
  <r>
    <s v="U206"/>
    <s v="S6495"/>
    <x v="376"/>
    <s v="Add_to_Cart"/>
    <s v="P754"/>
    <x v="1"/>
    <x v="0"/>
    <x v="1"/>
    <n v="0"/>
  </r>
  <r>
    <s v="U762"/>
    <s v="S3579"/>
    <x v="377"/>
    <s v="View"/>
    <s v="P562"/>
    <x v="0"/>
    <x v="2"/>
    <x v="3"/>
    <n v="0"/>
  </r>
  <r>
    <s v="U137"/>
    <s v="S7222"/>
    <x v="378"/>
    <s v="Purchase"/>
    <s v="P822"/>
    <x v="3"/>
    <x v="1"/>
    <x v="1"/>
    <n v="3073"/>
  </r>
  <r>
    <s v="U181"/>
    <s v="S6561"/>
    <x v="379"/>
    <s v="View"/>
    <s v="P966"/>
    <x v="0"/>
    <x v="2"/>
    <x v="2"/>
    <n v="0"/>
  </r>
  <r>
    <s v="U744"/>
    <s v="S4621"/>
    <x v="380"/>
    <s v="Purchase"/>
    <s v="P603"/>
    <x v="0"/>
    <x v="1"/>
    <x v="0"/>
    <n v="4299"/>
  </r>
  <r>
    <s v="U580"/>
    <s v="S2084"/>
    <x v="381"/>
    <s v="Add_to_Cart"/>
    <s v="P135"/>
    <x v="4"/>
    <x v="0"/>
    <x v="0"/>
    <n v="0"/>
  </r>
  <r>
    <s v="U797"/>
    <s v="S5995"/>
    <x v="382"/>
    <s v="View"/>
    <s v="P722"/>
    <x v="3"/>
    <x v="0"/>
    <x v="4"/>
    <n v="0"/>
  </r>
  <r>
    <s v="U156"/>
    <s v="S2463"/>
    <x v="383"/>
    <s v="View"/>
    <s v="P161"/>
    <x v="0"/>
    <x v="1"/>
    <x v="0"/>
    <n v="0"/>
  </r>
  <r>
    <s v="U236"/>
    <s v="S8412"/>
    <x v="384"/>
    <s v="View"/>
    <s v="P773"/>
    <x v="0"/>
    <x v="1"/>
    <x v="2"/>
    <n v="0"/>
  </r>
  <r>
    <s v="U193"/>
    <s v="S8955"/>
    <x v="385"/>
    <s v="Add_to_Cart"/>
    <s v="P953"/>
    <x v="3"/>
    <x v="0"/>
    <x v="0"/>
    <n v="0"/>
  </r>
  <r>
    <s v="U836"/>
    <s v="S9144"/>
    <x v="386"/>
    <s v="Add_to_Cart"/>
    <s v="P521"/>
    <x v="1"/>
    <x v="1"/>
    <x v="4"/>
    <n v="0"/>
  </r>
  <r>
    <s v="U354"/>
    <s v="S1507"/>
    <x v="387"/>
    <s v="View"/>
    <s v="P873"/>
    <x v="0"/>
    <x v="1"/>
    <x v="4"/>
    <n v="0"/>
  </r>
  <r>
    <s v="U507"/>
    <s v="S5417"/>
    <x v="388"/>
    <s v="Purchase"/>
    <s v="P630"/>
    <x v="2"/>
    <x v="2"/>
    <x v="1"/>
    <n v="3128"/>
  </r>
  <r>
    <s v="U930"/>
    <s v="S1206"/>
    <x v="389"/>
    <s v="View"/>
    <s v="P689"/>
    <x v="3"/>
    <x v="1"/>
    <x v="4"/>
    <n v="0"/>
  </r>
  <r>
    <s v="U994"/>
    <s v="S6608"/>
    <x v="390"/>
    <s v="Purchase"/>
    <s v="P535"/>
    <x v="4"/>
    <x v="2"/>
    <x v="1"/>
    <n v="3758"/>
  </r>
  <r>
    <s v="U527"/>
    <s v="S8135"/>
    <x v="391"/>
    <s v="Purchase"/>
    <s v="P754"/>
    <x v="0"/>
    <x v="2"/>
    <x v="4"/>
    <n v="3718"/>
  </r>
  <r>
    <s v="U677"/>
    <s v="S6387"/>
    <x v="392"/>
    <s v="Purchase"/>
    <s v="P546"/>
    <x v="0"/>
    <x v="0"/>
    <x v="3"/>
    <n v="2659"/>
  </r>
  <r>
    <s v="U196"/>
    <s v="S8932"/>
    <x v="393"/>
    <s v="Add_to_Cart"/>
    <s v="P893"/>
    <x v="1"/>
    <x v="0"/>
    <x v="3"/>
    <n v="0"/>
  </r>
  <r>
    <s v="U176"/>
    <s v="S4685"/>
    <x v="394"/>
    <s v="View"/>
    <s v="P527"/>
    <x v="1"/>
    <x v="2"/>
    <x v="3"/>
    <n v="0"/>
  </r>
  <r>
    <s v="U121"/>
    <s v="S7353"/>
    <x v="395"/>
    <s v="Add_to_Cart"/>
    <s v="P882"/>
    <x v="1"/>
    <x v="2"/>
    <x v="3"/>
    <n v="0"/>
  </r>
  <r>
    <s v="U248"/>
    <s v="S7589"/>
    <x v="396"/>
    <s v="Add_to_Cart"/>
    <s v="P492"/>
    <x v="2"/>
    <x v="0"/>
    <x v="3"/>
    <n v="0"/>
  </r>
  <r>
    <s v="U963"/>
    <s v="S1637"/>
    <x v="397"/>
    <s v="Add_to_Cart"/>
    <s v="P657"/>
    <x v="0"/>
    <x v="1"/>
    <x v="3"/>
    <n v="0"/>
  </r>
  <r>
    <s v="U177"/>
    <s v="S8302"/>
    <x v="398"/>
    <s v="Add_to_Cart"/>
    <s v="P964"/>
    <x v="3"/>
    <x v="1"/>
    <x v="0"/>
    <n v="0"/>
  </r>
  <r>
    <s v="U337"/>
    <s v="S2310"/>
    <x v="399"/>
    <s v="Purchase"/>
    <s v="P652"/>
    <x v="0"/>
    <x v="2"/>
    <x v="0"/>
    <n v="1633"/>
  </r>
  <r>
    <s v="U419"/>
    <s v="S6131"/>
    <x v="400"/>
    <s v="View"/>
    <s v="P297"/>
    <x v="4"/>
    <x v="0"/>
    <x v="3"/>
    <n v="0"/>
  </r>
  <r>
    <s v="U581"/>
    <s v="S1887"/>
    <x v="401"/>
    <s v="Add_to_Cart"/>
    <s v="P672"/>
    <x v="4"/>
    <x v="0"/>
    <x v="2"/>
    <n v="0"/>
  </r>
  <r>
    <s v="U998"/>
    <s v="S6564"/>
    <x v="402"/>
    <s v="Add_to_Cart"/>
    <s v="P225"/>
    <x v="0"/>
    <x v="2"/>
    <x v="0"/>
    <n v="0"/>
  </r>
  <r>
    <s v="U853"/>
    <s v="S8650"/>
    <x v="403"/>
    <s v="Purchase"/>
    <s v="P215"/>
    <x v="1"/>
    <x v="2"/>
    <x v="0"/>
    <n v="4667"/>
  </r>
  <r>
    <s v="U389"/>
    <s v="S9507"/>
    <x v="404"/>
    <s v="Add_to_Cart"/>
    <s v="P545"/>
    <x v="0"/>
    <x v="1"/>
    <x v="3"/>
    <n v="0"/>
  </r>
  <r>
    <s v="U415"/>
    <s v="S4856"/>
    <x v="405"/>
    <s v="View"/>
    <s v="P663"/>
    <x v="4"/>
    <x v="0"/>
    <x v="2"/>
    <n v="0"/>
  </r>
  <r>
    <s v="U142"/>
    <s v="S2495"/>
    <x v="406"/>
    <s v="Purchase"/>
    <s v="P750"/>
    <x v="2"/>
    <x v="1"/>
    <x v="4"/>
    <n v="3586"/>
  </r>
  <r>
    <s v="U276"/>
    <s v="S5184"/>
    <x v="407"/>
    <s v="View"/>
    <s v="P447"/>
    <x v="2"/>
    <x v="2"/>
    <x v="2"/>
    <n v="0"/>
  </r>
  <r>
    <s v="U695"/>
    <s v="S6352"/>
    <x v="408"/>
    <s v="Add_to_Cart"/>
    <s v="P771"/>
    <x v="2"/>
    <x v="1"/>
    <x v="1"/>
    <n v="0"/>
  </r>
  <r>
    <s v="U365"/>
    <s v="S4527"/>
    <x v="409"/>
    <s v="Purchase"/>
    <s v="P651"/>
    <x v="4"/>
    <x v="2"/>
    <x v="4"/>
    <n v="3791"/>
  </r>
  <r>
    <s v="U523"/>
    <s v="S1963"/>
    <x v="410"/>
    <s v="View"/>
    <s v="P243"/>
    <x v="3"/>
    <x v="0"/>
    <x v="4"/>
    <n v="0"/>
  </r>
  <r>
    <s v="U357"/>
    <s v="S5386"/>
    <x v="411"/>
    <s v="Purchase"/>
    <s v="P349"/>
    <x v="0"/>
    <x v="2"/>
    <x v="2"/>
    <n v="4040"/>
  </r>
  <r>
    <s v="U478"/>
    <s v="S2416"/>
    <x v="412"/>
    <s v="View"/>
    <s v="P360"/>
    <x v="1"/>
    <x v="1"/>
    <x v="0"/>
    <n v="0"/>
  </r>
  <r>
    <s v="U167"/>
    <s v="S7900"/>
    <x v="413"/>
    <s v="Add_to_Cart"/>
    <s v="P669"/>
    <x v="2"/>
    <x v="1"/>
    <x v="3"/>
    <n v="0"/>
  </r>
  <r>
    <s v="U327"/>
    <s v="S9736"/>
    <x v="414"/>
    <s v="View"/>
    <s v="P444"/>
    <x v="1"/>
    <x v="1"/>
    <x v="0"/>
    <n v="0"/>
  </r>
  <r>
    <s v="U435"/>
    <s v="S7723"/>
    <x v="415"/>
    <s v="View"/>
    <s v="P379"/>
    <x v="4"/>
    <x v="2"/>
    <x v="0"/>
    <n v="0"/>
  </r>
  <r>
    <s v="U344"/>
    <s v="S9919"/>
    <x v="416"/>
    <s v="Add_to_Cart"/>
    <s v="P367"/>
    <x v="4"/>
    <x v="0"/>
    <x v="4"/>
    <n v="0"/>
  </r>
  <r>
    <s v="U761"/>
    <s v="S8609"/>
    <x v="417"/>
    <s v="Purchase"/>
    <s v="P968"/>
    <x v="0"/>
    <x v="1"/>
    <x v="1"/>
    <n v="534"/>
  </r>
  <r>
    <s v="U674"/>
    <s v="S1111"/>
    <x v="418"/>
    <s v="Add_to_Cart"/>
    <s v="P558"/>
    <x v="2"/>
    <x v="2"/>
    <x v="0"/>
    <n v="0"/>
  </r>
  <r>
    <s v="U249"/>
    <s v="S1422"/>
    <x v="419"/>
    <s v="View"/>
    <s v="P560"/>
    <x v="4"/>
    <x v="0"/>
    <x v="1"/>
    <n v="0"/>
  </r>
  <r>
    <s v="U827"/>
    <s v="S6479"/>
    <x v="420"/>
    <s v="View"/>
    <s v="P437"/>
    <x v="3"/>
    <x v="1"/>
    <x v="2"/>
    <n v="0"/>
  </r>
  <r>
    <s v="U572"/>
    <s v="S8780"/>
    <x v="421"/>
    <s v="Add_to_Cart"/>
    <s v="P360"/>
    <x v="2"/>
    <x v="0"/>
    <x v="0"/>
    <n v="0"/>
  </r>
  <r>
    <s v="U607"/>
    <s v="S4919"/>
    <x v="422"/>
    <s v="Purchase"/>
    <s v="P235"/>
    <x v="4"/>
    <x v="0"/>
    <x v="1"/>
    <n v="2911"/>
  </r>
  <r>
    <s v="U614"/>
    <s v="S1425"/>
    <x v="423"/>
    <s v="View"/>
    <s v="P679"/>
    <x v="1"/>
    <x v="2"/>
    <x v="2"/>
    <n v="0"/>
  </r>
  <r>
    <s v="U207"/>
    <s v="S4022"/>
    <x v="424"/>
    <s v="Add_to_Cart"/>
    <s v="P370"/>
    <x v="1"/>
    <x v="0"/>
    <x v="4"/>
    <n v="0"/>
  </r>
  <r>
    <s v="U378"/>
    <s v="S2920"/>
    <x v="425"/>
    <s v="Add_to_Cart"/>
    <s v="P455"/>
    <x v="1"/>
    <x v="0"/>
    <x v="2"/>
    <n v="0"/>
  </r>
  <r>
    <s v="U953"/>
    <s v="S7574"/>
    <x v="426"/>
    <s v="Add_to_Cart"/>
    <s v="P481"/>
    <x v="3"/>
    <x v="2"/>
    <x v="4"/>
    <n v="0"/>
  </r>
  <r>
    <s v="U450"/>
    <s v="S5877"/>
    <x v="427"/>
    <s v="Add_to_Cart"/>
    <s v="P391"/>
    <x v="4"/>
    <x v="2"/>
    <x v="1"/>
    <n v="0"/>
  </r>
  <r>
    <s v="U733"/>
    <s v="S5247"/>
    <x v="428"/>
    <s v="View"/>
    <s v="P336"/>
    <x v="3"/>
    <x v="0"/>
    <x v="0"/>
    <n v="0"/>
  </r>
  <r>
    <s v="U944"/>
    <s v="S7430"/>
    <x v="429"/>
    <s v="Add_to_Cart"/>
    <s v="P337"/>
    <x v="2"/>
    <x v="0"/>
    <x v="1"/>
    <n v="0"/>
  </r>
  <r>
    <s v="U961"/>
    <s v="S8684"/>
    <x v="430"/>
    <s v="View"/>
    <s v="P799"/>
    <x v="0"/>
    <x v="0"/>
    <x v="2"/>
    <n v="0"/>
  </r>
  <r>
    <s v="U291"/>
    <s v="S1359"/>
    <x v="431"/>
    <s v="View"/>
    <s v="P383"/>
    <x v="2"/>
    <x v="0"/>
    <x v="4"/>
    <n v="0"/>
  </r>
  <r>
    <s v="U935"/>
    <s v="S8136"/>
    <x v="432"/>
    <s v="View"/>
    <s v="P557"/>
    <x v="0"/>
    <x v="1"/>
    <x v="0"/>
    <n v="0"/>
  </r>
  <r>
    <s v="U889"/>
    <s v="S5505"/>
    <x v="433"/>
    <s v="View"/>
    <s v="P619"/>
    <x v="4"/>
    <x v="0"/>
    <x v="3"/>
    <n v="0"/>
  </r>
  <r>
    <s v="U844"/>
    <s v="S7505"/>
    <x v="434"/>
    <s v="View"/>
    <s v="P468"/>
    <x v="0"/>
    <x v="1"/>
    <x v="2"/>
    <n v="0"/>
  </r>
  <r>
    <s v="U831"/>
    <s v="S8838"/>
    <x v="435"/>
    <s v="Purchase"/>
    <s v="P647"/>
    <x v="0"/>
    <x v="2"/>
    <x v="0"/>
    <n v="2611"/>
  </r>
  <r>
    <s v="U321"/>
    <s v="S9368"/>
    <x v="436"/>
    <s v="Add_to_Cart"/>
    <s v="P273"/>
    <x v="0"/>
    <x v="0"/>
    <x v="1"/>
    <n v="0"/>
  </r>
  <r>
    <s v="U790"/>
    <s v="S8718"/>
    <x v="437"/>
    <s v="Add_to_Cart"/>
    <s v="P173"/>
    <x v="0"/>
    <x v="2"/>
    <x v="1"/>
    <n v="0"/>
  </r>
  <r>
    <s v="U992"/>
    <s v="S9407"/>
    <x v="438"/>
    <s v="Purchase"/>
    <s v="P475"/>
    <x v="1"/>
    <x v="0"/>
    <x v="4"/>
    <n v="1996"/>
  </r>
  <r>
    <s v="U644"/>
    <s v="S5116"/>
    <x v="439"/>
    <s v="Purchase"/>
    <s v="P180"/>
    <x v="3"/>
    <x v="1"/>
    <x v="4"/>
    <n v="2110"/>
  </r>
  <r>
    <s v="U923"/>
    <s v="S2119"/>
    <x v="440"/>
    <s v="View"/>
    <s v="P140"/>
    <x v="3"/>
    <x v="1"/>
    <x v="2"/>
    <n v="0"/>
  </r>
  <r>
    <s v="U286"/>
    <s v="S7215"/>
    <x v="441"/>
    <s v="View"/>
    <s v="P657"/>
    <x v="1"/>
    <x v="0"/>
    <x v="0"/>
    <n v="0"/>
  </r>
  <r>
    <s v="U972"/>
    <s v="S7357"/>
    <x v="442"/>
    <s v="View"/>
    <s v="P415"/>
    <x v="3"/>
    <x v="1"/>
    <x v="3"/>
    <n v="0"/>
  </r>
  <r>
    <s v="U595"/>
    <s v="S5000"/>
    <x v="443"/>
    <s v="View"/>
    <s v="P971"/>
    <x v="4"/>
    <x v="1"/>
    <x v="0"/>
    <n v="0"/>
  </r>
  <r>
    <s v="U814"/>
    <s v="S4279"/>
    <x v="444"/>
    <s v="Add_to_Cart"/>
    <s v="P836"/>
    <x v="2"/>
    <x v="2"/>
    <x v="3"/>
    <n v="0"/>
  </r>
  <r>
    <s v="U892"/>
    <s v="S9048"/>
    <x v="445"/>
    <s v="Add_to_Cart"/>
    <s v="P814"/>
    <x v="4"/>
    <x v="0"/>
    <x v="1"/>
    <n v="0"/>
  </r>
  <r>
    <s v="U998"/>
    <s v="S4331"/>
    <x v="446"/>
    <s v="View"/>
    <s v="P759"/>
    <x v="4"/>
    <x v="0"/>
    <x v="0"/>
    <n v="0"/>
  </r>
  <r>
    <s v="U192"/>
    <s v="S2688"/>
    <x v="447"/>
    <s v="Purchase"/>
    <s v="P452"/>
    <x v="0"/>
    <x v="2"/>
    <x v="1"/>
    <n v="4100"/>
  </r>
  <r>
    <s v="U214"/>
    <s v="S1047"/>
    <x v="448"/>
    <s v="Purchase"/>
    <s v="P496"/>
    <x v="3"/>
    <x v="2"/>
    <x v="2"/>
    <n v="1857"/>
  </r>
  <r>
    <s v="U739"/>
    <s v="S4180"/>
    <x v="449"/>
    <s v="View"/>
    <s v="P435"/>
    <x v="2"/>
    <x v="2"/>
    <x v="4"/>
    <n v="0"/>
  </r>
  <r>
    <s v="U781"/>
    <s v="S8995"/>
    <x v="450"/>
    <s v="Add_to_Cart"/>
    <s v="P690"/>
    <x v="3"/>
    <x v="1"/>
    <x v="1"/>
    <n v="0"/>
  </r>
  <r>
    <s v="U446"/>
    <s v="S6163"/>
    <x v="451"/>
    <s v="Add_to_Cart"/>
    <s v="P828"/>
    <x v="0"/>
    <x v="1"/>
    <x v="0"/>
    <n v="0"/>
  </r>
  <r>
    <s v="U588"/>
    <s v="S8748"/>
    <x v="452"/>
    <s v="Add_to_Cart"/>
    <s v="P905"/>
    <x v="4"/>
    <x v="2"/>
    <x v="0"/>
    <n v="0"/>
  </r>
  <r>
    <s v="U117"/>
    <s v="S4164"/>
    <x v="453"/>
    <s v="View"/>
    <s v="P326"/>
    <x v="1"/>
    <x v="1"/>
    <x v="4"/>
    <n v="0"/>
  </r>
  <r>
    <s v="U300"/>
    <s v="S6549"/>
    <x v="454"/>
    <s v="Add_to_Cart"/>
    <s v="P861"/>
    <x v="1"/>
    <x v="1"/>
    <x v="0"/>
    <n v="0"/>
  </r>
  <r>
    <s v="U421"/>
    <s v="S7226"/>
    <x v="455"/>
    <s v="Add_to_Cart"/>
    <s v="P592"/>
    <x v="0"/>
    <x v="2"/>
    <x v="2"/>
    <n v="0"/>
  </r>
  <r>
    <s v="U428"/>
    <s v="S4845"/>
    <x v="456"/>
    <s v="Add_to_Cart"/>
    <s v="P252"/>
    <x v="0"/>
    <x v="0"/>
    <x v="0"/>
    <n v="0"/>
  </r>
  <r>
    <s v="U827"/>
    <s v="S2227"/>
    <x v="457"/>
    <s v="View"/>
    <s v="P693"/>
    <x v="3"/>
    <x v="2"/>
    <x v="1"/>
    <n v="0"/>
  </r>
  <r>
    <s v="U370"/>
    <s v="S7394"/>
    <x v="458"/>
    <s v="View"/>
    <s v="P177"/>
    <x v="3"/>
    <x v="1"/>
    <x v="0"/>
    <n v="0"/>
  </r>
  <r>
    <s v="U907"/>
    <s v="S7338"/>
    <x v="459"/>
    <s v="Add_to_Cart"/>
    <s v="P612"/>
    <x v="0"/>
    <x v="1"/>
    <x v="3"/>
    <n v="0"/>
  </r>
  <r>
    <s v="U336"/>
    <s v="S7632"/>
    <x v="460"/>
    <s v="Purchase"/>
    <s v="P631"/>
    <x v="2"/>
    <x v="0"/>
    <x v="0"/>
    <n v="655"/>
  </r>
  <r>
    <s v="U291"/>
    <s v="S5316"/>
    <x v="461"/>
    <s v="Purchase"/>
    <s v="P585"/>
    <x v="4"/>
    <x v="1"/>
    <x v="2"/>
    <n v="1648"/>
  </r>
  <r>
    <s v="U904"/>
    <s v="S3864"/>
    <x v="462"/>
    <s v="Purchase"/>
    <s v="P313"/>
    <x v="0"/>
    <x v="1"/>
    <x v="4"/>
    <n v="2997"/>
  </r>
  <r>
    <s v="U839"/>
    <s v="S2580"/>
    <x v="463"/>
    <s v="Add_to_Cart"/>
    <s v="P357"/>
    <x v="0"/>
    <x v="1"/>
    <x v="0"/>
    <n v="0"/>
  </r>
  <r>
    <s v="U768"/>
    <s v="S9317"/>
    <x v="464"/>
    <s v="View"/>
    <s v="P435"/>
    <x v="4"/>
    <x v="1"/>
    <x v="2"/>
    <n v="0"/>
  </r>
  <r>
    <s v="U983"/>
    <s v="S6759"/>
    <x v="465"/>
    <s v="Purchase"/>
    <s v="P617"/>
    <x v="2"/>
    <x v="2"/>
    <x v="3"/>
    <n v="836"/>
  </r>
  <r>
    <s v="U184"/>
    <s v="S1180"/>
    <x v="466"/>
    <s v="Add_to_Cart"/>
    <s v="P650"/>
    <x v="1"/>
    <x v="1"/>
    <x v="3"/>
    <n v="0"/>
  </r>
  <r>
    <s v="U481"/>
    <s v="S1732"/>
    <x v="467"/>
    <s v="View"/>
    <s v="P967"/>
    <x v="0"/>
    <x v="2"/>
    <x v="1"/>
    <n v="0"/>
  </r>
  <r>
    <s v="U914"/>
    <s v="S9560"/>
    <x v="468"/>
    <s v="Add_to_Cart"/>
    <s v="P927"/>
    <x v="3"/>
    <x v="1"/>
    <x v="3"/>
    <n v="0"/>
  </r>
  <r>
    <s v="U935"/>
    <s v="S7305"/>
    <x v="469"/>
    <s v="Add_to_Cart"/>
    <s v="P170"/>
    <x v="2"/>
    <x v="0"/>
    <x v="0"/>
    <n v="0"/>
  </r>
  <r>
    <s v="U622"/>
    <s v="S7497"/>
    <x v="470"/>
    <s v="Purchase"/>
    <s v="P727"/>
    <x v="3"/>
    <x v="1"/>
    <x v="3"/>
    <n v="883"/>
  </r>
  <r>
    <s v="U891"/>
    <s v="S7782"/>
    <x v="471"/>
    <s v="Add_to_Cart"/>
    <s v="P882"/>
    <x v="1"/>
    <x v="1"/>
    <x v="2"/>
    <n v="0"/>
  </r>
  <r>
    <s v="U789"/>
    <s v="S9418"/>
    <x v="472"/>
    <s v="Purchase"/>
    <s v="P557"/>
    <x v="2"/>
    <x v="0"/>
    <x v="2"/>
    <n v="402"/>
  </r>
  <r>
    <s v="U423"/>
    <s v="S3978"/>
    <x v="473"/>
    <s v="View"/>
    <s v="P433"/>
    <x v="4"/>
    <x v="0"/>
    <x v="0"/>
    <n v="0"/>
  </r>
  <r>
    <s v="U284"/>
    <s v="S1732"/>
    <x v="474"/>
    <s v="Purchase"/>
    <s v="P955"/>
    <x v="1"/>
    <x v="0"/>
    <x v="3"/>
    <n v="2593"/>
  </r>
  <r>
    <s v="U641"/>
    <s v="S3167"/>
    <x v="475"/>
    <s v="Purchase"/>
    <s v="P231"/>
    <x v="1"/>
    <x v="0"/>
    <x v="0"/>
    <n v="915"/>
  </r>
  <r>
    <s v="U848"/>
    <s v="S5960"/>
    <x v="476"/>
    <s v="View"/>
    <s v="P244"/>
    <x v="1"/>
    <x v="0"/>
    <x v="4"/>
    <n v="0"/>
  </r>
  <r>
    <s v="U119"/>
    <s v="S6935"/>
    <x v="477"/>
    <s v="Purchase"/>
    <s v="P661"/>
    <x v="1"/>
    <x v="2"/>
    <x v="0"/>
    <n v="1128"/>
  </r>
  <r>
    <s v="U358"/>
    <s v="S2238"/>
    <x v="478"/>
    <s v="View"/>
    <s v="P141"/>
    <x v="0"/>
    <x v="1"/>
    <x v="1"/>
    <n v="0"/>
  </r>
  <r>
    <s v="U788"/>
    <s v="S6665"/>
    <x v="479"/>
    <s v="View"/>
    <s v="P400"/>
    <x v="2"/>
    <x v="1"/>
    <x v="0"/>
    <n v="0"/>
  </r>
  <r>
    <s v="U232"/>
    <s v="S8952"/>
    <x v="480"/>
    <s v="Add_to_Cart"/>
    <s v="P556"/>
    <x v="2"/>
    <x v="0"/>
    <x v="4"/>
    <n v="0"/>
  </r>
  <r>
    <s v="U446"/>
    <s v="S6457"/>
    <x v="481"/>
    <s v="View"/>
    <s v="P217"/>
    <x v="4"/>
    <x v="1"/>
    <x v="1"/>
    <n v="0"/>
  </r>
  <r>
    <s v="U130"/>
    <s v="S9340"/>
    <x v="482"/>
    <s v="View"/>
    <s v="P364"/>
    <x v="1"/>
    <x v="2"/>
    <x v="3"/>
    <n v="0"/>
  </r>
  <r>
    <s v="U830"/>
    <s v="S4079"/>
    <x v="483"/>
    <s v="Add_to_Cart"/>
    <s v="P542"/>
    <x v="2"/>
    <x v="1"/>
    <x v="4"/>
    <n v="0"/>
  </r>
  <r>
    <s v="U140"/>
    <s v="S4754"/>
    <x v="484"/>
    <s v="Add_to_Cart"/>
    <s v="P388"/>
    <x v="3"/>
    <x v="0"/>
    <x v="4"/>
    <n v="0"/>
  </r>
  <r>
    <s v="U324"/>
    <s v="S5949"/>
    <x v="485"/>
    <s v="Purchase"/>
    <s v="P870"/>
    <x v="2"/>
    <x v="0"/>
    <x v="2"/>
    <n v="980"/>
  </r>
  <r>
    <s v="U221"/>
    <s v="S6228"/>
    <x v="486"/>
    <s v="Purchase"/>
    <s v="P311"/>
    <x v="2"/>
    <x v="2"/>
    <x v="2"/>
    <n v="4507"/>
  </r>
  <r>
    <s v="U251"/>
    <s v="S5180"/>
    <x v="487"/>
    <s v="Purchase"/>
    <s v="P351"/>
    <x v="0"/>
    <x v="1"/>
    <x v="1"/>
    <n v="4260"/>
  </r>
  <r>
    <s v="U104"/>
    <s v="S8997"/>
    <x v="488"/>
    <s v="Purchase"/>
    <s v="P630"/>
    <x v="1"/>
    <x v="1"/>
    <x v="2"/>
    <n v="891"/>
  </r>
  <r>
    <s v="U521"/>
    <s v="S1823"/>
    <x v="489"/>
    <s v="Purchase"/>
    <s v="P598"/>
    <x v="1"/>
    <x v="2"/>
    <x v="1"/>
    <n v="4441"/>
  </r>
  <r>
    <s v="U505"/>
    <s v="S4844"/>
    <x v="490"/>
    <s v="View"/>
    <s v="P668"/>
    <x v="0"/>
    <x v="2"/>
    <x v="4"/>
    <n v="0"/>
  </r>
  <r>
    <s v="U694"/>
    <s v="S9794"/>
    <x v="491"/>
    <s v="Purchase"/>
    <s v="P163"/>
    <x v="4"/>
    <x v="2"/>
    <x v="4"/>
    <n v="1005"/>
  </r>
  <r>
    <s v="U936"/>
    <s v="S1930"/>
    <x v="492"/>
    <s v="Add_to_Cart"/>
    <s v="P963"/>
    <x v="4"/>
    <x v="1"/>
    <x v="3"/>
    <n v="0"/>
  </r>
  <r>
    <s v="U240"/>
    <s v="S8964"/>
    <x v="493"/>
    <s v="Purchase"/>
    <s v="P285"/>
    <x v="3"/>
    <x v="0"/>
    <x v="0"/>
    <n v="2738"/>
  </r>
  <r>
    <s v="U710"/>
    <s v="S2039"/>
    <x v="494"/>
    <s v="Purchase"/>
    <s v="P333"/>
    <x v="1"/>
    <x v="2"/>
    <x v="1"/>
    <n v="2605"/>
  </r>
  <r>
    <s v="U905"/>
    <s v="S1813"/>
    <x v="495"/>
    <s v="View"/>
    <s v="P318"/>
    <x v="0"/>
    <x v="2"/>
    <x v="0"/>
    <n v="0"/>
  </r>
  <r>
    <s v="U480"/>
    <s v="S2266"/>
    <x v="496"/>
    <s v="View"/>
    <s v="P955"/>
    <x v="0"/>
    <x v="0"/>
    <x v="2"/>
    <n v="0"/>
  </r>
  <r>
    <s v="U269"/>
    <s v="S1958"/>
    <x v="497"/>
    <s v="Add_to_Cart"/>
    <s v="P388"/>
    <x v="4"/>
    <x v="0"/>
    <x v="2"/>
    <n v="0"/>
  </r>
  <r>
    <s v="U139"/>
    <s v="S1125"/>
    <x v="498"/>
    <s v="Add_to_Cart"/>
    <s v="P818"/>
    <x v="2"/>
    <x v="0"/>
    <x v="0"/>
    <n v="0"/>
  </r>
  <r>
    <s v="U348"/>
    <s v="S9537"/>
    <x v="499"/>
    <s v="View"/>
    <s v="P701"/>
    <x v="3"/>
    <x v="1"/>
    <x v="1"/>
    <n v="0"/>
  </r>
  <r>
    <s v="U152"/>
    <s v="S6794"/>
    <x v="500"/>
    <s v="Purchase"/>
    <s v="P450"/>
    <x v="1"/>
    <x v="0"/>
    <x v="0"/>
    <n v="1595"/>
  </r>
  <r>
    <s v="U189"/>
    <s v="S5936"/>
    <x v="501"/>
    <s v="View"/>
    <s v="P377"/>
    <x v="1"/>
    <x v="1"/>
    <x v="2"/>
    <n v="0"/>
  </r>
  <r>
    <s v="U287"/>
    <s v="S4002"/>
    <x v="502"/>
    <s v="View"/>
    <s v="P734"/>
    <x v="0"/>
    <x v="2"/>
    <x v="3"/>
    <n v="0"/>
  </r>
  <r>
    <s v="U627"/>
    <s v="S4500"/>
    <x v="338"/>
    <s v="View"/>
    <s v="P144"/>
    <x v="4"/>
    <x v="1"/>
    <x v="4"/>
    <n v="0"/>
  </r>
  <r>
    <s v="U996"/>
    <s v="S2475"/>
    <x v="503"/>
    <s v="View"/>
    <s v="P904"/>
    <x v="4"/>
    <x v="1"/>
    <x v="2"/>
    <n v="0"/>
  </r>
  <r>
    <s v="U362"/>
    <s v="S5770"/>
    <x v="504"/>
    <s v="View"/>
    <s v="P773"/>
    <x v="2"/>
    <x v="2"/>
    <x v="3"/>
    <n v="0"/>
  </r>
  <r>
    <s v="U918"/>
    <s v="S1207"/>
    <x v="505"/>
    <s v="Add_to_Cart"/>
    <s v="P914"/>
    <x v="4"/>
    <x v="2"/>
    <x v="1"/>
    <n v="0"/>
  </r>
  <r>
    <s v="U751"/>
    <s v="S5252"/>
    <x v="506"/>
    <s v="Add_to_Cart"/>
    <s v="P633"/>
    <x v="3"/>
    <x v="1"/>
    <x v="3"/>
    <n v="0"/>
  </r>
  <r>
    <s v="U842"/>
    <s v="S7688"/>
    <x v="507"/>
    <s v="View"/>
    <s v="P992"/>
    <x v="2"/>
    <x v="0"/>
    <x v="3"/>
    <n v="0"/>
  </r>
  <r>
    <s v="U438"/>
    <s v="S4154"/>
    <x v="508"/>
    <s v="Purchase"/>
    <s v="P588"/>
    <x v="2"/>
    <x v="2"/>
    <x v="1"/>
    <n v="4000"/>
  </r>
  <r>
    <s v="U921"/>
    <s v="S1268"/>
    <x v="509"/>
    <s v="View"/>
    <s v="P769"/>
    <x v="3"/>
    <x v="2"/>
    <x v="3"/>
    <n v="0"/>
  </r>
  <r>
    <s v="U815"/>
    <s v="S2322"/>
    <x v="510"/>
    <s v="Purchase"/>
    <s v="P391"/>
    <x v="0"/>
    <x v="1"/>
    <x v="4"/>
    <n v="1283"/>
  </r>
  <r>
    <s v="U219"/>
    <s v="S4530"/>
    <x v="511"/>
    <s v="Purchase"/>
    <s v="P548"/>
    <x v="2"/>
    <x v="1"/>
    <x v="3"/>
    <n v="2627"/>
  </r>
  <r>
    <s v="U292"/>
    <s v="S8337"/>
    <x v="512"/>
    <s v="Add_to_Cart"/>
    <s v="P502"/>
    <x v="1"/>
    <x v="0"/>
    <x v="4"/>
    <n v="0"/>
  </r>
  <r>
    <s v="U923"/>
    <s v="S4452"/>
    <x v="513"/>
    <s v="Add_to_Cart"/>
    <s v="P380"/>
    <x v="3"/>
    <x v="1"/>
    <x v="1"/>
    <n v="0"/>
  </r>
  <r>
    <s v="U342"/>
    <s v="S3393"/>
    <x v="514"/>
    <s v="View"/>
    <s v="P773"/>
    <x v="0"/>
    <x v="1"/>
    <x v="3"/>
    <n v="0"/>
  </r>
  <r>
    <s v="U844"/>
    <s v="S5879"/>
    <x v="515"/>
    <s v="Add_to_Cart"/>
    <s v="P619"/>
    <x v="2"/>
    <x v="1"/>
    <x v="2"/>
    <n v="0"/>
  </r>
  <r>
    <s v="U937"/>
    <s v="S1358"/>
    <x v="516"/>
    <s v="Add_to_Cart"/>
    <s v="P545"/>
    <x v="1"/>
    <x v="0"/>
    <x v="0"/>
    <n v="0"/>
  </r>
  <r>
    <s v="U433"/>
    <s v="S8563"/>
    <x v="517"/>
    <s v="Add_to_Cart"/>
    <s v="P813"/>
    <x v="3"/>
    <x v="0"/>
    <x v="0"/>
    <n v="0"/>
  </r>
  <r>
    <s v="U546"/>
    <s v="S9140"/>
    <x v="518"/>
    <s v="Purchase"/>
    <s v="P972"/>
    <x v="2"/>
    <x v="2"/>
    <x v="3"/>
    <n v="1347"/>
  </r>
  <r>
    <s v="U680"/>
    <s v="S2614"/>
    <x v="519"/>
    <s v="View"/>
    <s v="P785"/>
    <x v="3"/>
    <x v="0"/>
    <x v="2"/>
    <n v="0"/>
  </r>
  <r>
    <s v="U231"/>
    <s v="S9958"/>
    <x v="520"/>
    <s v="View"/>
    <s v="P983"/>
    <x v="3"/>
    <x v="2"/>
    <x v="1"/>
    <n v="0"/>
  </r>
  <r>
    <s v="U457"/>
    <s v="S2687"/>
    <x v="521"/>
    <s v="View"/>
    <s v="P924"/>
    <x v="1"/>
    <x v="2"/>
    <x v="0"/>
    <n v="0"/>
  </r>
  <r>
    <s v="U185"/>
    <s v="S5316"/>
    <x v="522"/>
    <s v="Add_to_Cart"/>
    <s v="P512"/>
    <x v="4"/>
    <x v="0"/>
    <x v="1"/>
    <n v="0"/>
  </r>
  <r>
    <s v="U400"/>
    <s v="S6314"/>
    <x v="523"/>
    <s v="Purchase"/>
    <s v="P256"/>
    <x v="3"/>
    <x v="1"/>
    <x v="2"/>
    <n v="707"/>
  </r>
  <r>
    <s v="U462"/>
    <s v="S4193"/>
    <x v="503"/>
    <s v="Add_to_Cart"/>
    <s v="P122"/>
    <x v="0"/>
    <x v="2"/>
    <x v="1"/>
    <n v="0"/>
  </r>
  <r>
    <s v="U561"/>
    <s v="S5230"/>
    <x v="524"/>
    <s v="Add_to_Cart"/>
    <s v="P845"/>
    <x v="4"/>
    <x v="0"/>
    <x v="1"/>
    <n v="0"/>
  </r>
  <r>
    <s v="U795"/>
    <s v="S5536"/>
    <x v="525"/>
    <s v="Add_to_Cart"/>
    <s v="P911"/>
    <x v="2"/>
    <x v="0"/>
    <x v="4"/>
    <n v="0"/>
  </r>
  <r>
    <s v="U950"/>
    <s v="S8114"/>
    <x v="526"/>
    <s v="Add_to_Cart"/>
    <s v="P739"/>
    <x v="4"/>
    <x v="1"/>
    <x v="4"/>
    <n v="0"/>
  </r>
  <r>
    <s v="U269"/>
    <s v="S8957"/>
    <x v="527"/>
    <s v="View"/>
    <s v="P242"/>
    <x v="0"/>
    <x v="0"/>
    <x v="1"/>
    <n v="0"/>
  </r>
  <r>
    <s v="U932"/>
    <s v="S8877"/>
    <x v="528"/>
    <s v="Add_to_Cart"/>
    <s v="P252"/>
    <x v="0"/>
    <x v="2"/>
    <x v="3"/>
    <n v="0"/>
  </r>
  <r>
    <s v="U213"/>
    <s v="S2372"/>
    <x v="529"/>
    <s v="View"/>
    <s v="P926"/>
    <x v="0"/>
    <x v="1"/>
    <x v="3"/>
    <n v="0"/>
  </r>
  <r>
    <s v="U942"/>
    <s v="S7400"/>
    <x v="530"/>
    <s v="Add_to_Cart"/>
    <s v="P129"/>
    <x v="4"/>
    <x v="2"/>
    <x v="0"/>
    <n v="0"/>
  </r>
  <r>
    <s v="U767"/>
    <s v="S2707"/>
    <x v="531"/>
    <s v="Purchase"/>
    <s v="P331"/>
    <x v="0"/>
    <x v="1"/>
    <x v="4"/>
    <n v="2385"/>
  </r>
  <r>
    <s v="U645"/>
    <s v="S3497"/>
    <x v="532"/>
    <s v="View"/>
    <s v="P800"/>
    <x v="3"/>
    <x v="0"/>
    <x v="0"/>
    <n v="0"/>
  </r>
  <r>
    <s v="U641"/>
    <s v="S4256"/>
    <x v="533"/>
    <s v="View"/>
    <s v="P731"/>
    <x v="1"/>
    <x v="2"/>
    <x v="1"/>
    <n v="0"/>
  </r>
  <r>
    <s v="U372"/>
    <s v="S5691"/>
    <x v="534"/>
    <s v="View"/>
    <s v="P153"/>
    <x v="2"/>
    <x v="2"/>
    <x v="3"/>
    <n v="0"/>
  </r>
  <r>
    <s v="U365"/>
    <s v="S1503"/>
    <x v="535"/>
    <s v="View"/>
    <s v="P774"/>
    <x v="1"/>
    <x v="2"/>
    <x v="4"/>
    <n v="0"/>
  </r>
  <r>
    <s v="U457"/>
    <s v="S8523"/>
    <x v="536"/>
    <s v="Add_to_Cart"/>
    <s v="P388"/>
    <x v="1"/>
    <x v="1"/>
    <x v="0"/>
    <n v="0"/>
  </r>
  <r>
    <s v="U592"/>
    <s v="S8737"/>
    <x v="537"/>
    <s v="Add_to_Cart"/>
    <s v="P998"/>
    <x v="2"/>
    <x v="2"/>
    <x v="0"/>
    <n v="0"/>
  </r>
  <r>
    <s v="U438"/>
    <s v="S8151"/>
    <x v="538"/>
    <s v="View"/>
    <s v="P188"/>
    <x v="3"/>
    <x v="1"/>
    <x v="4"/>
    <n v="0"/>
  </r>
  <r>
    <s v="U403"/>
    <s v="S6348"/>
    <x v="539"/>
    <s v="View"/>
    <s v="P933"/>
    <x v="4"/>
    <x v="2"/>
    <x v="2"/>
    <n v="0"/>
  </r>
  <r>
    <s v="U600"/>
    <s v="S1185"/>
    <x v="540"/>
    <s v="Purchase"/>
    <s v="P273"/>
    <x v="4"/>
    <x v="1"/>
    <x v="0"/>
    <n v="3714"/>
  </r>
  <r>
    <s v="U503"/>
    <s v="S9313"/>
    <x v="541"/>
    <s v="Add_to_Cart"/>
    <s v="P578"/>
    <x v="3"/>
    <x v="1"/>
    <x v="2"/>
    <n v="0"/>
  </r>
  <r>
    <s v="U825"/>
    <s v="S1014"/>
    <x v="542"/>
    <s v="Purchase"/>
    <s v="P436"/>
    <x v="4"/>
    <x v="1"/>
    <x v="4"/>
    <n v="2908"/>
  </r>
  <r>
    <s v="U489"/>
    <s v="S6828"/>
    <x v="543"/>
    <s v="Purchase"/>
    <s v="P244"/>
    <x v="4"/>
    <x v="1"/>
    <x v="3"/>
    <n v="4647"/>
  </r>
  <r>
    <s v="U836"/>
    <s v="S5732"/>
    <x v="544"/>
    <s v="Add_to_Cart"/>
    <s v="P944"/>
    <x v="3"/>
    <x v="1"/>
    <x v="2"/>
    <n v="0"/>
  </r>
  <r>
    <s v="U499"/>
    <s v="S2963"/>
    <x v="545"/>
    <s v="Purchase"/>
    <s v="P969"/>
    <x v="0"/>
    <x v="1"/>
    <x v="0"/>
    <n v="304"/>
  </r>
  <r>
    <s v="U954"/>
    <s v="S5587"/>
    <x v="546"/>
    <s v="Add_to_Cart"/>
    <s v="P772"/>
    <x v="4"/>
    <x v="0"/>
    <x v="0"/>
    <n v="0"/>
  </r>
  <r>
    <s v="U472"/>
    <s v="S8277"/>
    <x v="547"/>
    <s v="View"/>
    <s v="P378"/>
    <x v="2"/>
    <x v="0"/>
    <x v="3"/>
    <n v="0"/>
  </r>
  <r>
    <s v="U518"/>
    <s v="S3156"/>
    <x v="548"/>
    <s v="Purchase"/>
    <s v="P152"/>
    <x v="4"/>
    <x v="1"/>
    <x v="3"/>
    <n v="4271"/>
  </r>
  <r>
    <s v="U406"/>
    <s v="S2973"/>
    <x v="549"/>
    <s v="View"/>
    <s v="P900"/>
    <x v="1"/>
    <x v="1"/>
    <x v="0"/>
    <n v="0"/>
  </r>
  <r>
    <s v="U270"/>
    <s v="S9251"/>
    <x v="550"/>
    <s v="Purchase"/>
    <s v="P784"/>
    <x v="0"/>
    <x v="0"/>
    <x v="2"/>
    <n v="2480"/>
  </r>
  <r>
    <s v="U526"/>
    <s v="S9286"/>
    <x v="551"/>
    <s v="Add_to_Cart"/>
    <s v="P772"/>
    <x v="0"/>
    <x v="0"/>
    <x v="4"/>
    <n v="0"/>
  </r>
  <r>
    <s v="U427"/>
    <s v="S5712"/>
    <x v="552"/>
    <s v="Add_to_Cart"/>
    <s v="P630"/>
    <x v="3"/>
    <x v="2"/>
    <x v="3"/>
    <n v="0"/>
  </r>
  <r>
    <s v="U935"/>
    <s v="S1645"/>
    <x v="553"/>
    <s v="Add_to_Cart"/>
    <s v="P686"/>
    <x v="2"/>
    <x v="2"/>
    <x v="4"/>
    <n v="0"/>
  </r>
  <r>
    <s v="U804"/>
    <s v="S7515"/>
    <x v="554"/>
    <s v="Add_to_Cart"/>
    <s v="P909"/>
    <x v="4"/>
    <x v="2"/>
    <x v="3"/>
    <n v="0"/>
  </r>
  <r>
    <s v="U181"/>
    <s v="S8308"/>
    <x v="555"/>
    <s v="View"/>
    <s v="P733"/>
    <x v="0"/>
    <x v="0"/>
    <x v="4"/>
    <n v="0"/>
  </r>
  <r>
    <s v="U726"/>
    <s v="S7203"/>
    <x v="556"/>
    <s v="View"/>
    <s v="P920"/>
    <x v="4"/>
    <x v="2"/>
    <x v="0"/>
    <n v="0"/>
  </r>
  <r>
    <s v="U302"/>
    <s v="S6609"/>
    <x v="557"/>
    <s v="View"/>
    <s v="P396"/>
    <x v="3"/>
    <x v="0"/>
    <x v="4"/>
    <n v="0"/>
  </r>
  <r>
    <s v="U716"/>
    <s v="S1371"/>
    <x v="558"/>
    <s v="Purchase"/>
    <s v="P906"/>
    <x v="3"/>
    <x v="2"/>
    <x v="1"/>
    <n v="3761"/>
  </r>
  <r>
    <s v="U850"/>
    <s v="S2149"/>
    <x v="559"/>
    <s v="Add_to_Cart"/>
    <s v="P541"/>
    <x v="3"/>
    <x v="1"/>
    <x v="0"/>
    <n v="0"/>
  </r>
  <r>
    <s v="U463"/>
    <s v="S1371"/>
    <x v="560"/>
    <s v="Add_to_Cart"/>
    <s v="P907"/>
    <x v="2"/>
    <x v="2"/>
    <x v="2"/>
    <n v="0"/>
  </r>
  <r>
    <s v="U659"/>
    <s v="S9716"/>
    <x v="561"/>
    <s v="Add_to_Cart"/>
    <s v="P601"/>
    <x v="0"/>
    <x v="1"/>
    <x v="1"/>
    <n v="0"/>
  </r>
  <r>
    <s v="U165"/>
    <s v="S8266"/>
    <x v="562"/>
    <s v="Add_to_Cart"/>
    <s v="P994"/>
    <x v="0"/>
    <x v="0"/>
    <x v="1"/>
    <n v="0"/>
  </r>
  <r>
    <s v="U858"/>
    <s v="S2384"/>
    <x v="563"/>
    <s v="Purchase"/>
    <s v="P859"/>
    <x v="1"/>
    <x v="1"/>
    <x v="0"/>
    <n v="4062"/>
  </r>
  <r>
    <s v="U397"/>
    <s v="S4850"/>
    <x v="564"/>
    <s v="View"/>
    <s v="P671"/>
    <x v="3"/>
    <x v="2"/>
    <x v="4"/>
    <n v="0"/>
  </r>
  <r>
    <s v="U362"/>
    <s v="S1133"/>
    <x v="565"/>
    <s v="View"/>
    <s v="P312"/>
    <x v="4"/>
    <x v="0"/>
    <x v="1"/>
    <n v="0"/>
  </r>
  <r>
    <s v="U662"/>
    <s v="S6487"/>
    <x v="566"/>
    <s v="View"/>
    <s v="P520"/>
    <x v="1"/>
    <x v="0"/>
    <x v="2"/>
    <n v="0"/>
  </r>
  <r>
    <s v="U946"/>
    <s v="S6830"/>
    <x v="414"/>
    <s v="Add_to_Cart"/>
    <s v="P871"/>
    <x v="1"/>
    <x v="0"/>
    <x v="4"/>
    <n v="0"/>
  </r>
  <r>
    <s v="U928"/>
    <s v="S3327"/>
    <x v="567"/>
    <s v="View"/>
    <s v="P599"/>
    <x v="2"/>
    <x v="0"/>
    <x v="2"/>
    <n v="0"/>
  </r>
  <r>
    <s v="U286"/>
    <s v="S5914"/>
    <x v="568"/>
    <s v="Add_to_Cart"/>
    <s v="P118"/>
    <x v="2"/>
    <x v="0"/>
    <x v="3"/>
    <n v="0"/>
  </r>
  <r>
    <s v="U203"/>
    <s v="S1069"/>
    <x v="569"/>
    <s v="Add_to_Cart"/>
    <s v="P810"/>
    <x v="4"/>
    <x v="2"/>
    <x v="3"/>
    <n v="0"/>
  </r>
  <r>
    <s v="U349"/>
    <s v="S4440"/>
    <x v="570"/>
    <s v="View"/>
    <s v="P509"/>
    <x v="2"/>
    <x v="0"/>
    <x v="4"/>
    <n v="0"/>
  </r>
  <r>
    <s v="U229"/>
    <s v="S2317"/>
    <x v="571"/>
    <s v="Purchase"/>
    <s v="P245"/>
    <x v="1"/>
    <x v="2"/>
    <x v="0"/>
    <n v="3313"/>
  </r>
  <r>
    <s v="U517"/>
    <s v="S9626"/>
    <x v="572"/>
    <s v="View"/>
    <s v="P476"/>
    <x v="3"/>
    <x v="2"/>
    <x v="1"/>
    <n v="0"/>
  </r>
  <r>
    <s v="U896"/>
    <s v="S6259"/>
    <x v="573"/>
    <s v="Add_to_Cart"/>
    <s v="P973"/>
    <x v="0"/>
    <x v="1"/>
    <x v="4"/>
    <n v="0"/>
  </r>
  <r>
    <s v="U811"/>
    <s v="S8118"/>
    <x v="574"/>
    <s v="Add_to_Cart"/>
    <s v="P287"/>
    <x v="1"/>
    <x v="0"/>
    <x v="3"/>
    <n v="0"/>
  </r>
  <r>
    <s v="U967"/>
    <s v="S5345"/>
    <x v="575"/>
    <s v="Purchase"/>
    <s v="P381"/>
    <x v="4"/>
    <x v="0"/>
    <x v="2"/>
    <n v="617"/>
  </r>
  <r>
    <s v="U654"/>
    <s v="S2792"/>
    <x v="576"/>
    <s v="Purchase"/>
    <s v="P304"/>
    <x v="3"/>
    <x v="1"/>
    <x v="2"/>
    <n v="3267"/>
  </r>
  <r>
    <s v="U542"/>
    <s v="S4492"/>
    <x v="577"/>
    <s v="Purchase"/>
    <s v="P281"/>
    <x v="2"/>
    <x v="0"/>
    <x v="2"/>
    <n v="921"/>
  </r>
  <r>
    <s v="U606"/>
    <s v="S5080"/>
    <x v="174"/>
    <s v="View"/>
    <s v="P266"/>
    <x v="1"/>
    <x v="1"/>
    <x v="3"/>
    <n v="0"/>
  </r>
  <r>
    <s v="U121"/>
    <s v="S2769"/>
    <x v="578"/>
    <s v="Add_to_Cart"/>
    <s v="P479"/>
    <x v="4"/>
    <x v="2"/>
    <x v="2"/>
    <n v="0"/>
  </r>
  <r>
    <s v="U159"/>
    <s v="S6427"/>
    <x v="579"/>
    <s v="Purchase"/>
    <s v="P809"/>
    <x v="3"/>
    <x v="1"/>
    <x v="0"/>
    <n v="3098"/>
  </r>
  <r>
    <s v="U746"/>
    <s v="S7182"/>
    <x v="580"/>
    <s v="Add_to_Cart"/>
    <s v="P659"/>
    <x v="0"/>
    <x v="2"/>
    <x v="2"/>
    <n v="0"/>
  </r>
  <r>
    <s v="U489"/>
    <s v="S5599"/>
    <x v="581"/>
    <s v="Purchase"/>
    <s v="P821"/>
    <x v="1"/>
    <x v="2"/>
    <x v="0"/>
    <n v="1212"/>
  </r>
  <r>
    <s v="U359"/>
    <s v="S8089"/>
    <x v="582"/>
    <s v="Add_to_Cart"/>
    <s v="P120"/>
    <x v="2"/>
    <x v="1"/>
    <x v="4"/>
    <n v="0"/>
  </r>
  <r>
    <s v="U233"/>
    <s v="S3524"/>
    <x v="583"/>
    <s v="Add_to_Cart"/>
    <s v="P114"/>
    <x v="0"/>
    <x v="2"/>
    <x v="4"/>
    <n v="0"/>
  </r>
  <r>
    <s v="U789"/>
    <s v="S9964"/>
    <x v="584"/>
    <s v="View"/>
    <s v="P680"/>
    <x v="1"/>
    <x v="2"/>
    <x v="2"/>
    <n v="0"/>
  </r>
  <r>
    <s v="U704"/>
    <s v="S7067"/>
    <x v="585"/>
    <s v="Add_to_Cart"/>
    <s v="P553"/>
    <x v="2"/>
    <x v="1"/>
    <x v="4"/>
    <n v="0"/>
  </r>
  <r>
    <s v="U893"/>
    <s v="S7225"/>
    <x v="586"/>
    <s v="Add_to_Cart"/>
    <s v="P896"/>
    <x v="1"/>
    <x v="0"/>
    <x v="2"/>
    <n v="0"/>
  </r>
  <r>
    <s v="U199"/>
    <s v="S8613"/>
    <x v="587"/>
    <s v="Purchase"/>
    <s v="P425"/>
    <x v="2"/>
    <x v="0"/>
    <x v="2"/>
    <n v="3437"/>
  </r>
  <r>
    <s v="U842"/>
    <s v="S5983"/>
    <x v="588"/>
    <s v="Purchase"/>
    <s v="P520"/>
    <x v="3"/>
    <x v="0"/>
    <x v="1"/>
    <n v="3882"/>
  </r>
  <r>
    <s v="U222"/>
    <s v="S3241"/>
    <x v="589"/>
    <s v="View"/>
    <s v="P732"/>
    <x v="4"/>
    <x v="0"/>
    <x v="3"/>
    <n v="0"/>
  </r>
  <r>
    <s v="U126"/>
    <s v="S9557"/>
    <x v="590"/>
    <s v="View"/>
    <s v="P960"/>
    <x v="2"/>
    <x v="0"/>
    <x v="4"/>
    <n v="0"/>
  </r>
  <r>
    <s v="U545"/>
    <s v="S9954"/>
    <x v="591"/>
    <s v="View"/>
    <s v="P101"/>
    <x v="4"/>
    <x v="1"/>
    <x v="2"/>
    <n v="0"/>
  </r>
  <r>
    <s v="U484"/>
    <s v="S6598"/>
    <x v="592"/>
    <s v="Add_to_Cart"/>
    <s v="P815"/>
    <x v="3"/>
    <x v="0"/>
    <x v="3"/>
    <n v="0"/>
  </r>
  <r>
    <s v="U871"/>
    <s v="S8320"/>
    <x v="593"/>
    <s v="Add_to_Cart"/>
    <s v="P239"/>
    <x v="1"/>
    <x v="2"/>
    <x v="2"/>
    <n v="0"/>
  </r>
  <r>
    <s v="U479"/>
    <s v="S4028"/>
    <x v="594"/>
    <s v="Add_to_Cart"/>
    <s v="P194"/>
    <x v="4"/>
    <x v="2"/>
    <x v="2"/>
    <n v="0"/>
  </r>
  <r>
    <s v="U982"/>
    <s v="S5392"/>
    <x v="595"/>
    <s v="View"/>
    <s v="P498"/>
    <x v="3"/>
    <x v="1"/>
    <x v="1"/>
    <n v="0"/>
  </r>
  <r>
    <s v="U229"/>
    <s v="S2378"/>
    <x v="596"/>
    <s v="View"/>
    <s v="P610"/>
    <x v="4"/>
    <x v="1"/>
    <x v="3"/>
    <n v="0"/>
  </r>
  <r>
    <s v="U473"/>
    <s v="S2185"/>
    <x v="597"/>
    <s v="View"/>
    <s v="P294"/>
    <x v="1"/>
    <x v="0"/>
    <x v="0"/>
    <n v="0"/>
  </r>
  <r>
    <s v="U884"/>
    <s v="S5981"/>
    <x v="598"/>
    <s v="Purchase"/>
    <s v="P649"/>
    <x v="3"/>
    <x v="0"/>
    <x v="2"/>
    <n v="2812"/>
  </r>
  <r>
    <s v="U523"/>
    <s v="S5354"/>
    <x v="599"/>
    <s v="View"/>
    <s v="P383"/>
    <x v="4"/>
    <x v="2"/>
    <x v="4"/>
    <n v="0"/>
  </r>
  <r>
    <s v="U569"/>
    <s v="S1956"/>
    <x v="600"/>
    <s v="Add_to_Cart"/>
    <s v="P349"/>
    <x v="0"/>
    <x v="0"/>
    <x v="2"/>
    <n v="0"/>
  </r>
  <r>
    <s v="U771"/>
    <s v="S5401"/>
    <x v="601"/>
    <s v="View"/>
    <s v="P915"/>
    <x v="3"/>
    <x v="0"/>
    <x v="3"/>
    <n v="0"/>
  </r>
  <r>
    <s v="U900"/>
    <s v="S8469"/>
    <x v="602"/>
    <s v="Add_to_Cart"/>
    <s v="P943"/>
    <x v="4"/>
    <x v="1"/>
    <x v="4"/>
    <n v="0"/>
  </r>
  <r>
    <s v="U881"/>
    <s v="S3876"/>
    <x v="603"/>
    <s v="View"/>
    <s v="P294"/>
    <x v="4"/>
    <x v="2"/>
    <x v="2"/>
    <n v="0"/>
  </r>
  <r>
    <s v="U208"/>
    <s v="S4436"/>
    <x v="604"/>
    <s v="Add_to_Cart"/>
    <s v="P597"/>
    <x v="1"/>
    <x v="1"/>
    <x v="1"/>
    <n v="0"/>
  </r>
  <r>
    <s v="U489"/>
    <s v="S8764"/>
    <x v="605"/>
    <s v="Add_to_Cart"/>
    <s v="P436"/>
    <x v="0"/>
    <x v="1"/>
    <x v="1"/>
    <n v="0"/>
  </r>
  <r>
    <s v="U566"/>
    <s v="S6249"/>
    <x v="606"/>
    <s v="View"/>
    <s v="P814"/>
    <x v="2"/>
    <x v="2"/>
    <x v="0"/>
    <n v="0"/>
  </r>
  <r>
    <s v="U678"/>
    <s v="S2703"/>
    <x v="607"/>
    <s v="Purchase"/>
    <s v="P126"/>
    <x v="4"/>
    <x v="2"/>
    <x v="4"/>
    <n v="1112"/>
  </r>
  <r>
    <s v="U586"/>
    <s v="S3602"/>
    <x v="608"/>
    <s v="Add_to_Cart"/>
    <s v="P755"/>
    <x v="4"/>
    <x v="1"/>
    <x v="2"/>
    <n v="0"/>
  </r>
  <r>
    <s v="U512"/>
    <s v="S2820"/>
    <x v="609"/>
    <s v="Add_to_Cart"/>
    <s v="P170"/>
    <x v="0"/>
    <x v="0"/>
    <x v="1"/>
    <n v="0"/>
  </r>
  <r>
    <s v="U819"/>
    <s v="S9210"/>
    <x v="610"/>
    <s v="Add_to_Cart"/>
    <s v="P195"/>
    <x v="3"/>
    <x v="2"/>
    <x v="0"/>
    <n v="0"/>
  </r>
  <r>
    <s v="U514"/>
    <s v="S3793"/>
    <x v="611"/>
    <s v="Add_to_Cart"/>
    <s v="P908"/>
    <x v="2"/>
    <x v="0"/>
    <x v="3"/>
    <n v="0"/>
  </r>
  <r>
    <s v="U369"/>
    <s v="S3144"/>
    <x v="612"/>
    <s v="Add_to_Cart"/>
    <s v="P358"/>
    <x v="0"/>
    <x v="1"/>
    <x v="3"/>
    <n v="0"/>
  </r>
  <r>
    <s v="U802"/>
    <s v="S7588"/>
    <x v="613"/>
    <s v="Add_to_Cart"/>
    <s v="P935"/>
    <x v="0"/>
    <x v="0"/>
    <x v="2"/>
    <n v="0"/>
  </r>
  <r>
    <s v="U829"/>
    <s v="S4772"/>
    <x v="614"/>
    <s v="Add_to_Cart"/>
    <s v="P813"/>
    <x v="2"/>
    <x v="0"/>
    <x v="1"/>
    <n v="0"/>
  </r>
  <r>
    <s v="U405"/>
    <s v="S6725"/>
    <x v="615"/>
    <s v="Purchase"/>
    <s v="P510"/>
    <x v="0"/>
    <x v="0"/>
    <x v="2"/>
    <n v="2267"/>
  </r>
  <r>
    <s v="U919"/>
    <s v="S8561"/>
    <x v="616"/>
    <s v="Purchase"/>
    <s v="P620"/>
    <x v="2"/>
    <x v="0"/>
    <x v="0"/>
    <n v="4233"/>
  </r>
  <r>
    <s v="U431"/>
    <s v="S4020"/>
    <x v="617"/>
    <s v="View"/>
    <s v="P257"/>
    <x v="0"/>
    <x v="0"/>
    <x v="2"/>
    <n v="0"/>
  </r>
  <r>
    <s v="U337"/>
    <s v="S7925"/>
    <x v="618"/>
    <s v="Purchase"/>
    <s v="P820"/>
    <x v="0"/>
    <x v="0"/>
    <x v="1"/>
    <n v="825"/>
  </r>
  <r>
    <s v="U987"/>
    <s v="S3943"/>
    <x v="619"/>
    <s v="View"/>
    <s v="P297"/>
    <x v="4"/>
    <x v="1"/>
    <x v="2"/>
    <n v="0"/>
  </r>
  <r>
    <s v="U484"/>
    <s v="S2406"/>
    <x v="620"/>
    <s v="View"/>
    <s v="P732"/>
    <x v="0"/>
    <x v="2"/>
    <x v="3"/>
    <n v="0"/>
  </r>
  <r>
    <s v="U348"/>
    <s v="S9500"/>
    <x v="621"/>
    <s v="View"/>
    <s v="P195"/>
    <x v="4"/>
    <x v="1"/>
    <x v="0"/>
    <n v="0"/>
  </r>
  <r>
    <s v="U873"/>
    <s v="S7929"/>
    <x v="622"/>
    <s v="Add_to_Cart"/>
    <s v="P869"/>
    <x v="1"/>
    <x v="1"/>
    <x v="1"/>
    <n v="0"/>
  </r>
  <r>
    <s v="U586"/>
    <s v="S3836"/>
    <x v="623"/>
    <s v="View"/>
    <s v="P151"/>
    <x v="4"/>
    <x v="1"/>
    <x v="2"/>
    <n v="0"/>
  </r>
  <r>
    <s v="U596"/>
    <s v="S7486"/>
    <x v="624"/>
    <s v="Add_to_Cart"/>
    <s v="P424"/>
    <x v="4"/>
    <x v="2"/>
    <x v="0"/>
    <n v="0"/>
  </r>
  <r>
    <s v="U317"/>
    <s v="S3725"/>
    <x v="625"/>
    <s v="Add_to_Cart"/>
    <s v="P399"/>
    <x v="3"/>
    <x v="2"/>
    <x v="1"/>
    <n v="0"/>
  </r>
  <r>
    <s v="U350"/>
    <s v="S5798"/>
    <x v="626"/>
    <s v="Add_to_Cart"/>
    <s v="P243"/>
    <x v="4"/>
    <x v="1"/>
    <x v="3"/>
    <n v="0"/>
  </r>
  <r>
    <s v="U489"/>
    <s v="S2302"/>
    <x v="627"/>
    <s v="Add_to_Cart"/>
    <s v="P779"/>
    <x v="2"/>
    <x v="0"/>
    <x v="0"/>
    <n v="0"/>
  </r>
  <r>
    <s v="U452"/>
    <s v="S9539"/>
    <x v="628"/>
    <s v="Add_to_Cart"/>
    <s v="P372"/>
    <x v="1"/>
    <x v="1"/>
    <x v="3"/>
    <n v="0"/>
  </r>
  <r>
    <s v="U504"/>
    <s v="S5215"/>
    <x v="629"/>
    <s v="Add_to_Cart"/>
    <s v="P829"/>
    <x v="1"/>
    <x v="2"/>
    <x v="0"/>
    <n v="0"/>
  </r>
  <r>
    <s v="U807"/>
    <s v="S7977"/>
    <x v="630"/>
    <s v="Purchase"/>
    <s v="P840"/>
    <x v="4"/>
    <x v="0"/>
    <x v="2"/>
    <n v="1438"/>
  </r>
  <r>
    <s v="U554"/>
    <s v="S2406"/>
    <x v="631"/>
    <s v="Purchase"/>
    <s v="P608"/>
    <x v="4"/>
    <x v="1"/>
    <x v="4"/>
    <n v="2308"/>
  </r>
  <r>
    <s v="U695"/>
    <s v="S4419"/>
    <x v="632"/>
    <s v="View"/>
    <s v="P995"/>
    <x v="2"/>
    <x v="0"/>
    <x v="2"/>
    <n v="0"/>
  </r>
  <r>
    <s v="U477"/>
    <s v="S9525"/>
    <x v="633"/>
    <s v="Purchase"/>
    <s v="P177"/>
    <x v="3"/>
    <x v="1"/>
    <x v="1"/>
    <n v="4383"/>
  </r>
  <r>
    <s v="U725"/>
    <s v="S5937"/>
    <x v="634"/>
    <s v="View"/>
    <s v="P473"/>
    <x v="4"/>
    <x v="0"/>
    <x v="0"/>
    <n v="0"/>
  </r>
  <r>
    <s v="U203"/>
    <s v="S9405"/>
    <x v="635"/>
    <s v="Purchase"/>
    <s v="P733"/>
    <x v="3"/>
    <x v="0"/>
    <x v="0"/>
    <n v="4116"/>
  </r>
  <r>
    <s v="U572"/>
    <s v="S5608"/>
    <x v="636"/>
    <s v="View"/>
    <s v="P635"/>
    <x v="4"/>
    <x v="2"/>
    <x v="4"/>
    <n v="0"/>
  </r>
  <r>
    <s v="U272"/>
    <s v="S9992"/>
    <x v="637"/>
    <s v="View"/>
    <s v="P144"/>
    <x v="1"/>
    <x v="1"/>
    <x v="3"/>
    <n v="0"/>
  </r>
  <r>
    <s v="U446"/>
    <s v="S8301"/>
    <x v="638"/>
    <s v="View"/>
    <s v="P384"/>
    <x v="3"/>
    <x v="2"/>
    <x v="1"/>
    <n v="0"/>
  </r>
  <r>
    <s v="U548"/>
    <s v="S3827"/>
    <x v="639"/>
    <s v="View"/>
    <s v="P229"/>
    <x v="1"/>
    <x v="1"/>
    <x v="3"/>
    <n v="0"/>
  </r>
  <r>
    <s v="U281"/>
    <s v="S4562"/>
    <x v="640"/>
    <s v="View"/>
    <s v="P243"/>
    <x v="1"/>
    <x v="0"/>
    <x v="3"/>
    <n v="0"/>
  </r>
  <r>
    <s v="U511"/>
    <s v="S8153"/>
    <x v="641"/>
    <s v="Add_to_Cart"/>
    <s v="P323"/>
    <x v="3"/>
    <x v="1"/>
    <x v="4"/>
    <n v="0"/>
  </r>
  <r>
    <s v="U151"/>
    <s v="S6081"/>
    <x v="642"/>
    <s v="Purchase"/>
    <s v="P928"/>
    <x v="3"/>
    <x v="1"/>
    <x v="1"/>
    <n v="2300"/>
  </r>
  <r>
    <s v="U979"/>
    <s v="S3289"/>
    <x v="643"/>
    <s v="Purchase"/>
    <s v="P306"/>
    <x v="0"/>
    <x v="2"/>
    <x v="0"/>
    <n v="1999"/>
  </r>
  <r>
    <s v="U974"/>
    <s v="S9897"/>
    <x v="644"/>
    <s v="Add_to_Cart"/>
    <s v="P516"/>
    <x v="4"/>
    <x v="1"/>
    <x v="1"/>
    <n v="0"/>
  </r>
  <r>
    <s v="U926"/>
    <s v="S5453"/>
    <x v="645"/>
    <s v="Purchase"/>
    <s v="P686"/>
    <x v="0"/>
    <x v="1"/>
    <x v="2"/>
    <n v="2258"/>
  </r>
  <r>
    <s v="U215"/>
    <s v="S1606"/>
    <x v="646"/>
    <s v="View"/>
    <s v="P906"/>
    <x v="0"/>
    <x v="1"/>
    <x v="1"/>
    <n v="0"/>
  </r>
  <r>
    <s v="U899"/>
    <s v="S5528"/>
    <x v="647"/>
    <s v="Purchase"/>
    <s v="P214"/>
    <x v="3"/>
    <x v="0"/>
    <x v="3"/>
    <n v="3063"/>
  </r>
  <r>
    <s v="U602"/>
    <s v="S2558"/>
    <x v="648"/>
    <s v="Purchase"/>
    <s v="P833"/>
    <x v="3"/>
    <x v="0"/>
    <x v="4"/>
    <n v="4906"/>
  </r>
  <r>
    <s v="U735"/>
    <s v="S2747"/>
    <x v="649"/>
    <s v="View"/>
    <s v="P555"/>
    <x v="4"/>
    <x v="2"/>
    <x v="4"/>
    <n v="0"/>
  </r>
  <r>
    <s v="U165"/>
    <s v="S1893"/>
    <x v="650"/>
    <s v="View"/>
    <s v="P533"/>
    <x v="2"/>
    <x v="0"/>
    <x v="1"/>
    <n v="0"/>
  </r>
  <r>
    <s v="U827"/>
    <s v="S8665"/>
    <x v="651"/>
    <s v="Add_to_Cart"/>
    <s v="P562"/>
    <x v="1"/>
    <x v="2"/>
    <x v="2"/>
    <n v="0"/>
  </r>
  <r>
    <s v="U381"/>
    <s v="S1685"/>
    <x v="652"/>
    <s v="View"/>
    <s v="P524"/>
    <x v="3"/>
    <x v="1"/>
    <x v="3"/>
    <n v="0"/>
  </r>
  <r>
    <s v="U159"/>
    <s v="S6323"/>
    <x v="653"/>
    <s v="Add_to_Cart"/>
    <s v="P570"/>
    <x v="1"/>
    <x v="0"/>
    <x v="4"/>
    <n v="0"/>
  </r>
  <r>
    <s v="U173"/>
    <s v="S4873"/>
    <x v="654"/>
    <s v="Add_to_Cart"/>
    <s v="P941"/>
    <x v="2"/>
    <x v="0"/>
    <x v="4"/>
    <n v="0"/>
  </r>
  <r>
    <s v="U954"/>
    <s v="S6505"/>
    <x v="655"/>
    <s v="View"/>
    <s v="P134"/>
    <x v="0"/>
    <x v="0"/>
    <x v="4"/>
    <n v="0"/>
  </r>
  <r>
    <s v="U413"/>
    <s v="S3641"/>
    <x v="656"/>
    <s v="Purchase"/>
    <s v="P842"/>
    <x v="2"/>
    <x v="1"/>
    <x v="3"/>
    <n v="470"/>
  </r>
  <r>
    <s v="U175"/>
    <s v="S8073"/>
    <x v="657"/>
    <s v="Add_to_Cart"/>
    <s v="P562"/>
    <x v="0"/>
    <x v="1"/>
    <x v="2"/>
    <n v="0"/>
  </r>
  <r>
    <s v="U598"/>
    <s v="S3183"/>
    <x v="658"/>
    <s v="Add_to_Cart"/>
    <s v="P210"/>
    <x v="0"/>
    <x v="2"/>
    <x v="3"/>
    <n v="0"/>
  </r>
  <r>
    <s v="U391"/>
    <s v="S8773"/>
    <x v="659"/>
    <s v="Add_to_Cart"/>
    <s v="P617"/>
    <x v="3"/>
    <x v="0"/>
    <x v="2"/>
    <n v="0"/>
  </r>
  <r>
    <s v="U201"/>
    <s v="S2927"/>
    <x v="660"/>
    <s v="View"/>
    <s v="P633"/>
    <x v="3"/>
    <x v="1"/>
    <x v="0"/>
    <n v="0"/>
  </r>
  <r>
    <s v="U717"/>
    <s v="S3011"/>
    <x v="661"/>
    <s v="View"/>
    <s v="P429"/>
    <x v="2"/>
    <x v="0"/>
    <x v="2"/>
    <n v="0"/>
  </r>
  <r>
    <s v="U516"/>
    <s v="S3521"/>
    <x v="662"/>
    <s v="Purchase"/>
    <s v="P267"/>
    <x v="3"/>
    <x v="0"/>
    <x v="0"/>
    <n v="1793"/>
  </r>
  <r>
    <s v="U737"/>
    <s v="S7750"/>
    <x v="468"/>
    <s v="View"/>
    <s v="P163"/>
    <x v="3"/>
    <x v="0"/>
    <x v="0"/>
    <n v="0"/>
  </r>
  <r>
    <s v="U411"/>
    <s v="S2239"/>
    <x v="663"/>
    <s v="Purchase"/>
    <s v="P936"/>
    <x v="2"/>
    <x v="2"/>
    <x v="3"/>
    <n v="1878"/>
  </r>
  <r>
    <s v="U630"/>
    <s v="S8022"/>
    <x v="664"/>
    <s v="Purchase"/>
    <s v="P782"/>
    <x v="1"/>
    <x v="2"/>
    <x v="1"/>
    <n v="2264"/>
  </r>
  <r>
    <s v="U233"/>
    <s v="S6614"/>
    <x v="665"/>
    <s v="Add_to_Cart"/>
    <s v="P506"/>
    <x v="1"/>
    <x v="2"/>
    <x v="0"/>
    <n v="0"/>
  </r>
  <r>
    <s v="U872"/>
    <s v="S2426"/>
    <x v="666"/>
    <s v="View"/>
    <s v="P822"/>
    <x v="3"/>
    <x v="0"/>
    <x v="4"/>
    <n v="0"/>
  </r>
  <r>
    <s v="U584"/>
    <s v="S5695"/>
    <x v="667"/>
    <s v="Add_to_Cart"/>
    <s v="P649"/>
    <x v="0"/>
    <x v="2"/>
    <x v="3"/>
    <n v="0"/>
  </r>
  <r>
    <s v="U981"/>
    <s v="S7790"/>
    <x v="668"/>
    <s v="Add_to_Cart"/>
    <s v="P824"/>
    <x v="2"/>
    <x v="2"/>
    <x v="2"/>
    <n v="0"/>
  </r>
  <r>
    <s v="U665"/>
    <s v="S8505"/>
    <x v="669"/>
    <s v="Purchase"/>
    <s v="P583"/>
    <x v="2"/>
    <x v="2"/>
    <x v="3"/>
    <n v="3986"/>
  </r>
  <r>
    <s v="U149"/>
    <s v="S8505"/>
    <x v="670"/>
    <s v="Add_to_Cart"/>
    <s v="P763"/>
    <x v="3"/>
    <x v="1"/>
    <x v="3"/>
    <n v="0"/>
  </r>
  <r>
    <s v="U201"/>
    <s v="S8036"/>
    <x v="671"/>
    <s v="Add_to_Cart"/>
    <s v="P233"/>
    <x v="3"/>
    <x v="1"/>
    <x v="0"/>
    <n v="0"/>
  </r>
  <r>
    <s v="U192"/>
    <s v="S8743"/>
    <x v="672"/>
    <s v="Add_to_Cart"/>
    <s v="P583"/>
    <x v="0"/>
    <x v="0"/>
    <x v="2"/>
    <n v="0"/>
  </r>
  <r>
    <s v="U685"/>
    <s v="S5188"/>
    <x v="673"/>
    <s v="Add_to_Cart"/>
    <s v="P282"/>
    <x v="4"/>
    <x v="2"/>
    <x v="1"/>
    <n v="0"/>
  </r>
  <r>
    <s v="U850"/>
    <s v="S5424"/>
    <x v="674"/>
    <s v="View"/>
    <s v="P787"/>
    <x v="3"/>
    <x v="1"/>
    <x v="1"/>
    <n v="0"/>
  </r>
  <r>
    <s v="U246"/>
    <s v="S6799"/>
    <x v="675"/>
    <s v="Purchase"/>
    <s v="P705"/>
    <x v="3"/>
    <x v="0"/>
    <x v="1"/>
    <n v="2585"/>
  </r>
  <r>
    <s v="U100"/>
    <s v="S1477"/>
    <x v="676"/>
    <s v="Purchase"/>
    <s v="P894"/>
    <x v="3"/>
    <x v="0"/>
    <x v="3"/>
    <n v="1823"/>
  </r>
  <r>
    <s v="U436"/>
    <s v="S6419"/>
    <x v="677"/>
    <s v="Purchase"/>
    <s v="P598"/>
    <x v="0"/>
    <x v="1"/>
    <x v="4"/>
    <n v="1845"/>
  </r>
  <r>
    <s v="U219"/>
    <s v="S1733"/>
    <x v="678"/>
    <s v="Purchase"/>
    <s v="P942"/>
    <x v="0"/>
    <x v="2"/>
    <x v="3"/>
    <n v="4966"/>
  </r>
  <r>
    <s v="U985"/>
    <s v="S2224"/>
    <x v="679"/>
    <s v="Add_to_Cart"/>
    <s v="P994"/>
    <x v="2"/>
    <x v="1"/>
    <x v="1"/>
    <n v="0"/>
  </r>
  <r>
    <s v="U238"/>
    <s v="S1470"/>
    <x v="680"/>
    <s v="Add_to_Cart"/>
    <s v="P393"/>
    <x v="0"/>
    <x v="1"/>
    <x v="1"/>
    <n v="0"/>
  </r>
  <r>
    <s v="U916"/>
    <s v="S3018"/>
    <x v="681"/>
    <s v="View"/>
    <s v="P417"/>
    <x v="1"/>
    <x v="2"/>
    <x v="3"/>
    <n v="0"/>
  </r>
  <r>
    <s v="U351"/>
    <s v="S1230"/>
    <x v="682"/>
    <s v="Purchase"/>
    <s v="P591"/>
    <x v="4"/>
    <x v="1"/>
    <x v="2"/>
    <n v="2025"/>
  </r>
  <r>
    <s v="U852"/>
    <s v="S8179"/>
    <x v="683"/>
    <s v="View"/>
    <s v="P301"/>
    <x v="0"/>
    <x v="2"/>
    <x v="2"/>
    <n v="0"/>
  </r>
  <r>
    <s v="U713"/>
    <s v="S7804"/>
    <x v="684"/>
    <s v="Add_to_Cart"/>
    <s v="P260"/>
    <x v="0"/>
    <x v="1"/>
    <x v="0"/>
    <n v="0"/>
  </r>
  <r>
    <s v="U797"/>
    <s v="S5225"/>
    <x v="685"/>
    <s v="Add_to_Cart"/>
    <s v="P691"/>
    <x v="0"/>
    <x v="2"/>
    <x v="1"/>
    <n v="0"/>
  </r>
  <r>
    <s v="U916"/>
    <s v="S3527"/>
    <x v="686"/>
    <s v="Purchase"/>
    <s v="P255"/>
    <x v="1"/>
    <x v="2"/>
    <x v="4"/>
    <n v="2221"/>
  </r>
  <r>
    <s v="U279"/>
    <s v="S3939"/>
    <x v="687"/>
    <s v="Purchase"/>
    <s v="P566"/>
    <x v="2"/>
    <x v="1"/>
    <x v="0"/>
    <n v="4484"/>
  </r>
  <r>
    <s v="U233"/>
    <s v="S8340"/>
    <x v="688"/>
    <s v="View"/>
    <s v="P971"/>
    <x v="2"/>
    <x v="0"/>
    <x v="1"/>
    <n v="0"/>
  </r>
  <r>
    <s v="U569"/>
    <s v="S1411"/>
    <x v="689"/>
    <s v="Add_to_Cart"/>
    <s v="P355"/>
    <x v="1"/>
    <x v="2"/>
    <x v="4"/>
    <n v="0"/>
  </r>
  <r>
    <s v="U681"/>
    <s v="S4169"/>
    <x v="690"/>
    <s v="View"/>
    <s v="P919"/>
    <x v="0"/>
    <x v="0"/>
    <x v="0"/>
    <n v="0"/>
  </r>
  <r>
    <s v="U607"/>
    <s v="S2554"/>
    <x v="691"/>
    <s v="View"/>
    <s v="P128"/>
    <x v="0"/>
    <x v="0"/>
    <x v="0"/>
    <n v="0"/>
  </r>
  <r>
    <s v="U409"/>
    <s v="S9213"/>
    <x v="692"/>
    <s v="View"/>
    <s v="P200"/>
    <x v="3"/>
    <x v="1"/>
    <x v="1"/>
    <n v="0"/>
  </r>
  <r>
    <s v="U102"/>
    <s v="S6694"/>
    <x v="693"/>
    <s v="View"/>
    <s v="P511"/>
    <x v="4"/>
    <x v="1"/>
    <x v="1"/>
    <n v="0"/>
  </r>
  <r>
    <s v="U640"/>
    <s v="S3256"/>
    <x v="694"/>
    <s v="View"/>
    <s v="P114"/>
    <x v="0"/>
    <x v="1"/>
    <x v="3"/>
    <n v="0"/>
  </r>
  <r>
    <s v="U645"/>
    <s v="S8456"/>
    <x v="695"/>
    <s v="Purchase"/>
    <s v="P933"/>
    <x v="0"/>
    <x v="1"/>
    <x v="2"/>
    <n v="3552"/>
  </r>
  <r>
    <s v="U854"/>
    <s v="S5274"/>
    <x v="696"/>
    <s v="Add_to_Cart"/>
    <s v="P233"/>
    <x v="2"/>
    <x v="0"/>
    <x v="4"/>
    <n v="0"/>
  </r>
  <r>
    <s v="U812"/>
    <s v="S5431"/>
    <x v="697"/>
    <s v="Add_to_Cart"/>
    <s v="P246"/>
    <x v="0"/>
    <x v="0"/>
    <x v="3"/>
    <n v="0"/>
  </r>
  <r>
    <s v="U216"/>
    <s v="S9569"/>
    <x v="698"/>
    <s v="Purchase"/>
    <s v="P509"/>
    <x v="0"/>
    <x v="1"/>
    <x v="1"/>
    <n v="2947"/>
  </r>
  <r>
    <s v="U883"/>
    <s v="S4913"/>
    <x v="699"/>
    <s v="Purchase"/>
    <s v="P406"/>
    <x v="0"/>
    <x v="1"/>
    <x v="4"/>
    <n v="2840"/>
  </r>
  <r>
    <s v="U620"/>
    <s v="S3745"/>
    <x v="700"/>
    <s v="View"/>
    <s v="P692"/>
    <x v="2"/>
    <x v="2"/>
    <x v="2"/>
    <n v="0"/>
  </r>
  <r>
    <s v="U851"/>
    <s v="S4770"/>
    <x v="701"/>
    <s v="Add_to_Cart"/>
    <s v="P369"/>
    <x v="3"/>
    <x v="2"/>
    <x v="3"/>
    <n v="0"/>
  </r>
  <r>
    <s v="U831"/>
    <s v="S7262"/>
    <x v="702"/>
    <s v="Purchase"/>
    <s v="P231"/>
    <x v="3"/>
    <x v="1"/>
    <x v="0"/>
    <n v="4681"/>
  </r>
  <r>
    <s v="U294"/>
    <s v="S8742"/>
    <x v="703"/>
    <s v="Purchase"/>
    <s v="P727"/>
    <x v="2"/>
    <x v="1"/>
    <x v="2"/>
    <n v="843"/>
  </r>
  <r>
    <s v="U124"/>
    <s v="S9866"/>
    <x v="704"/>
    <s v="Add_to_Cart"/>
    <s v="P726"/>
    <x v="1"/>
    <x v="1"/>
    <x v="0"/>
    <n v="0"/>
  </r>
  <r>
    <s v="U233"/>
    <s v="S5527"/>
    <x v="705"/>
    <s v="Add_to_Cart"/>
    <s v="P115"/>
    <x v="0"/>
    <x v="0"/>
    <x v="1"/>
    <n v="0"/>
  </r>
  <r>
    <s v="U266"/>
    <s v="S1954"/>
    <x v="706"/>
    <s v="Add_to_Cart"/>
    <s v="P155"/>
    <x v="1"/>
    <x v="1"/>
    <x v="4"/>
    <n v="0"/>
  </r>
  <r>
    <s v="U486"/>
    <s v="S4840"/>
    <x v="707"/>
    <s v="Add_to_Cart"/>
    <s v="P895"/>
    <x v="4"/>
    <x v="1"/>
    <x v="3"/>
    <n v="0"/>
  </r>
  <r>
    <s v="U762"/>
    <s v="S2934"/>
    <x v="708"/>
    <s v="View"/>
    <s v="P942"/>
    <x v="1"/>
    <x v="2"/>
    <x v="2"/>
    <n v="0"/>
  </r>
  <r>
    <s v="U895"/>
    <s v="S2073"/>
    <x v="709"/>
    <s v="Add_to_Cart"/>
    <s v="P537"/>
    <x v="3"/>
    <x v="0"/>
    <x v="2"/>
    <n v="0"/>
  </r>
  <r>
    <s v="U816"/>
    <s v="S6098"/>
    <x v="710"/>
    <s v="Add_to_Cart"/>
    <s v="P115"/>
    <x v="0"/>
    <x v="1"/>
    <x v="4"/>
    <n v="0"/>
  </r>
  <r>
    <s v="U259"/>
    <s v="S8861"/>
    <x v="711"/>
    <s v="Purchase"/>
    <s v="P897"/>
    <x v="0"/>
    <x v="2"/>
    <x v="1"/>
    <n v="357"/>
  </r>
  <r>
    <s v="U982"/>
    <s v="S1229"/>
    <x v="712"/>
    <s v="Add_to_Cart"/>
    <s v="P699"/>
    <x v="4"/>
    <x v="1"/>
    <x v="1"/>
    <n v="0"/>
  </r>
  <r>
    <s v="U132"/>
    <s v="S8778"/>
    <x v="713"/>
    <s v="Purchase"/>
    <s v="P999"/>
    <x v="4"/>
    <x v="0"/>
    <x v="1"/>
    <n v="753"/>
  </r>
  <r>
    <s v="U873"/>
    <s v="S3927"/>
    <x v="714"/>
    <s v="Purchase"/>
    <s v="P246"/>
    <x v="4"/>
    <x v="1"/>
    <x v="1"/>
    <n v="4642"/>
  </r>
  <r>
    <s v="U287"/>
    <s v="S1063"/>
    <x v="715"/>
    <s v="View"/>
    <s v="P751"/>
    <x v="3"/>
    <x v="0"/>
    <x v="2"/>
    <n v="0"/>
  </r>
  <r>
    <s v="U279"/>
    <s v="S4668"/>
    <x v="716"/>
    <s v="Purchase"/>
    <s v="P159"/>
    <x v="3"/>
    <x v="0"/>
    <x v="2"/>
    <n v="3694"/>
  </r>
  <r>
    <s v="U637"/>
    <s v="S6423"/>
    <x v="717"/>
    <s v="Add_to_Cart"/>
    <s v="P794"/>
    <x v="2"/>
    <x v="1"/>
    <x v="2"/>
    <n v="0"/>
  </r>
  <r>
    <s v="U712"/>
    <s v="S5827"/>
    <x v="718"/>
    <s v="View"/>
    <s v="P245"/>
    <x v="1"/>
    <x v="2"/>
    <x v="2"/>
    <n v="0"/>
  </r>
  <r>
    <s v="U214"/>
    <s v="S6180"/>
    <x v="719"/>
    <s v="Purchase"/>
    <s v="P957"/>
    <x v="3"/>
    <x v="0"/>
    <x v="1"/>
    <n v="4565"/>
  </r>
  <r>
    <s v="U298"/>
    <s v="S8016"/>
    <x v="720"/>
    <s v="View"/>
    <s v="P852"/>
    <x v="3"/>
    <x v="1"/>
    <x v="0"/>
    <n v="0"/>
  </r>
  <r>
    <s v="U624"/>
    <s v="S7130"/>
    <x v="721"/>
    <s v="View"/>
    <s v="P505"/>
    <x v="0"/>
    <x v="0"/>
    <x v="0"/>
    <n v="0"/>
  </r>
  <r>
    <s v="U982"/>
    <s v="S5197"/>
    <x v="722"/>
    <s v="Purchase"/>
    <s v="P433"/>
    <x v="4"/>
    <x v="1"/>
    <x v="0"/>
    <n v="543"/>
  </r>
  <r>
    <s v="U544"/>
    <s v="S4747"/>
    <x v="723"/>
    <s v="View"/>
    <s v="P974"/>
    <x v="3"/>
    <x v="0"/>
    <x v="1"/>
    <n v="0"/>
  </r>
  <r>
    <s v="U863"/>
    <s v="S7893"/>
    <x v="724"/>
    <s v="Purchase"/>
    <s v="P892"/>
    <x v="0"/>
    <x v="2"/>
    <x v="0"/>
    <n v="1335"/>
  </r>
  <r>
    <s v="U271"/>
    <s v="S9959"/>
    <x v="725"/>
    <s v="Purchase"/>
    <s v="P371"/>
    <x v="1"/>
    <x v="0"/>
    <x v="3"/>
    <n v="3428"/>
  </r>
  <r>
    <s v="U400"/>
    <s v="S6841"/>
    <x v="726"/>
    <s v="View"/>
    <s v="P906"/>
    <x v="1"/>
    <x v="0"/>
    <x v="4"/>
    <n v="0"/>
  </r>
  <r>
    <s v="U583"/>
    <s v="S3789"/>
    <x v="727"/>
    <s v="View"/>
    <s v="P893"/>
    <x v="2"/>
    <x v="2"/>
    <x v="4"/>
    <n v="0"/>
  </r>
  <r>
    <s v="U581"/>
    <s v="S4895"/>
    <x v="728"/>
    <s v="Purchase"/>
    <s v="P725"/>
    <x v="4"/>
    <x v="2"/>
    <x v="1"/>
    <n v="2777"/>
  </r>
  <r>
    <s v="U275"/>
    <s v="S4517"/>
    <x v="729"/>
    <s v="Purchase"/>
    <s v="P153"/>
    <x v="3"/>
    <x v="1"/>
    <x v="1"/>
    <n v="1053"/>
  </r>
  <r>
    <s v="U995"/>
    <s v="S1255"/>
    <x v="730"/>
    <s v="Add_to_Cart"/>
    <s v="P324"/>
    <x v="4"/>
    <x v="1"/>
    <x v="0"/>
    <n v="0"/>
  </r>
  <r>
    <s v="U357"/>
    <s v="S7556"/>
    <x v="731"/>
    <s v="View"/>
    <s v="P672"/>
    <x v="0"/>
    <x v="2"/>
    <x v="3"/>
    <n v="0"/>
  </r>
  <r>
    <s v="U271"/>
    <s v="S9721"/>
    <x v="732"/>
    <s v="View"/>
    <s v="P813"/>
    <x v="1"/>
    <x v="0"/>
    <x v="2"/>
    <n v="0"/>
  </r>
  <r>
    <s v="U191"/>
    <s v="S2976"/>
    <x v="733"/>
    <s v="Add_to_Cart"/>
    <s v="P621"/>
    <x v="1"/>
    <x v="1"/>
    <x v="0"/>
    <n v="0"/>
  </r>
  <r>
    <s v="U143"/>
    <s v="S2036"/>
    <x v="734"/>
    <s v="Add_to_Cart"/>
    <s v="P882"/>
    <x v="1"/>
    <x v="2"/>
    <x v="1"/>
    <n v="0"/>
  </r>
  <r>
    <s v="U801"/>
    <s v="S8812"/>
    <x v="735"/>
    <s v="View"/>
    <s v="P362"/>
    <x v="0"/>
    <x v="2"/>
    <x v="1"/>
    <n v="0"/>
  </r>
  <r>
    <s v="U634"/>
    <s v="S1828"/>
    <x v="736"/>
    <s v="Purchase"/>
    <s v="P315"/>
    <x v="4"/>
    <x v="2"/>
    <x v="2"/>
    <n v="540"/>
  </r>
  <r>
    <s v="U368"/>
    <s v="S4906"/>
    <x v="737"/>
    <s v="Add_to_Cart"/>
    <s v="P914"/>
    <x v="3"/>
    <x v="2"/>
    <x v="2"/>
    <n v="0"/>
  </r>
  <r>
    <s v="U388"/>
    <s v="S8127"/>
    <x v="738"/>
    <s v="View"/>
    <s v="P611"/>
    <x v="4"/>
    <x v="2"/>
    <x v="0"/>
    <n v="0"/>
  </r>
  <r>
    <s v="U819"/>
    <s v="S6128"/>
    <x v="739"/>
    <s v="View"/>
    <s v="P991"/>
    <x v="3"/>
    <x v="1"/>
    <x v="2"/>
    <n v="0"/>
  </r>
  <r>
    <s v="U844"/>
    <s v="S9617"/>
    <x v="740"/>
    <s v="Purchase"/>
    <s v="P566"/>
    <x v="4"/>
    <x v="1"/>
    <x v="2"/>
    <n v="608"/>
  </r>
  <r>
    <s v="U123"/>
    <s v="S2353"/>
    <x v="741"/>
    <s v="Purchase"/>
    <s v="P337"/>
    <x v="0"/>
    <x v="2"/>
    <x v="4"/>
    <n v="471"/>
  </r>
  <r>
    <s v="U204"/>
    <s v="S7961"/>
    <x v="742"/>
    <s v="Purchase"/>
    <s v="P533"/>
    <x v="4"/>
    <x v="2"/>
    <x v="1"/>
    <n v="4613"/>
  </r>
  <r>
    <s v="U820"/>
    <s v="S1790"/>
    <x v="743"/>
    <s v="Add_to_Cart"/>
    <s v="P659"/>
    <x v="1"/>
    <x v="2"/>
    <x v="4"/>
    <n v="0"/>
  </r>
  <r>
    <s v="U269"/>
    <s v="S8886"/>
    <x v="744"/>
    <s v="Purchase"/>
    <s v="P898"/>
    <x v="0"/>
    <x v="2"/>
    <x v="0"/>
    <n v="4865"/>
  </r>
  <r>
    <s v="U360"/>
    <s v="S8353"/>
    <x v="745"/>
    <s v="View"/>
    <s v="P144"/>
    <x v="2"/>
    <x v="1"/>
    <x v="4"/>
    <n v="0"/>
  </r>
  <r>
    <s v="U621"/>
    <s v="S7731"/>
    <x v="746"/>
    <s v="Purchase"/>
    <s v="P594"/>
    <x v="3"/>
    <x v="1"/>
    <x v="1"/>
    <n v="2100"/>
  </r>
  <r>
    <s v="U130"/>
    <s v="S1007"/>
    <x v="747"/>
    <s v="Add_to_Cart"/>
    <s v="P754"/>
    <x v="1"/>
    <x v="2"/>
    <x v="1"/>
    <n v="0"/>
  </r>
  <r>
    <s v="U185"/>
    <s v="S9691"/>
    <x v="748"/>
    <s v="Add_to_Cart"/>
    <s v="P901"/>
    <x v="1"/>
    <x v="0"/>
    <x v="4"/>
    <n v="0"/>
  </r>
  <r>
    <s v="U430"/>
    <s v="S4984"/>
    <x v="749"/>
    <s v="View"/>
    <s v="P761"/>
    <x v="3"/>
    <x v="1"/>
    <x v="2"/>
    <n v="0"/>
  </r>
  <r>
    <s v="U487"/>
    <s v="S8228"/>
    <x v="750"/>
    <s v="Add_to_Cart"/>
    <s v="P150"/>
    <x v="4"/>
    <x v="0"/>
    <x v="0"/>
    <n v="0"/>
  </r>
  <r>
    <s v="U940"/>
    <s v="S1294"/>
    <x v="751"/>
    <s v="View"/>
    <s v="P148"/>
    <x v="1"/>
    <x v="1"/>
    <x v="1"/>
    <n v="0"/>
  </r>
  <r>
    <s v="U621"/>
    <s v="S4658"/>
    <x v="752"/>
    <s v="Purchase"/>
    <s v="P114"/>
    <x v="4"/>
    <x v="0"/>
    <x v="2"/>
    <n v="2647"/>
  </r>
  <r>
    <s v="U136"/>
    <s v="S7085"/>
    <x v="753"/>
    <s v="View"/>
    <s v="P577"/>
    <x v="0"/>
    <x v="2"/>
    <x v="2"/>
    <n v="0"/>
  </r>
  <r>
    <s v="U481"/>
    <s v="S6043"/>
    <x v="754"/>
    <s v="Purchase"/>
    <s v="P958"/>
    <x v="3"/>
    <x v="2"/>
    <x v="4"/>
    <n v="4781"/>
  </r>
  <r>
    <s v="U735"/>
    <s v="S5309"/>
    <x v="755"/>
    <s v="Purchase"/>
    <s v="P340"/>
    <x v="1"/>
    <x v="0"/>
    <x v="3"/>
    <n v="3450"/>
  </r>
  <r>
    <s v="U644"/>
    <s v="S3533"/>
    <x v="756"/>
    <s v="Purchase"/>
    <s v="P233"/>
    <x v="1"/>
    <x v="1"/>
    <x v="0"/>
    <n v="422"/>
  </r>
  <r>
    <s v="U738"/>
    <s v="S7008"/>
    <x v="757"/>
    <s v="View"/>
    <s v="P171"/>
    <x v="4"/>
    <x v="0"/>
    <x v="4"/>
    <n v="0"/>
  </r>
  <r>
    <s v="U583"/>
    <s v="S3608"/>
    <x v="758"/>
    <s v="View"/>
    <s v="P227"/>
    <x v="0"/>
    <x v="0"/>
    <x v="0"/>
    <n v="0"/>
  </r>
  <r>
    <s v="U587"/>
    <s v="S8523"/>
    <x v="759"/>
    <s v="Add_to_Cart"/>
    <s v="P251"/>
    <x v="3"/>
    <x v="1"/>
    <x v="0"/>
    <n v="0"/>
  </r>
  <r>
    <s v="U466"/>
    <s v="S4870"/>
    <x v="760"/>
    <s v="Add_to_Cart"/>
    <s v="P590"/>
    <x v="0"/>
    <x v="1"/>
    <x v="4"/>
    <n v="0"/>
  </r>
  <r>
    <s v="U320"/>
    <s v="S1020"/>
    <x v="761"/>
    <s v="Add_to_Cart"/>
    <s v="P637"/>
    <x v="2"/>
    <x v="2"/>
    <x v="0"/>
    <n v="0"/>
  </r>
  <r>
    <s v="U828"/>
    <s v="S9772"/>
    <x v="762"/>
    <s v="View"/>
    <s v="P101"/>
    <x v="3"/>
    <x v="1"/>
    <x v="1"/>
    <n v="0"/>
  </r>
  <r>
    <s v="U796"/>
    <s v="S6978"/>
    <x v="763"/>
    <s v="Add_to_Cart"/>
    <s v="P502"/>
    <x v="4"/>
    <x v="2"/>
    <x v="4"/>
    <n v="0"/>
  </r>
  <r>
    <s v="U997"/>
    <s v="S6855"/>
    <x v="764"/>
    <s v="Add_to_Cart"/>
    <s v="P467"/>
    <x v="3"/>
    <x v="1"/>
    <x v="3"/>
    <n v="0"/>
  </r>
  <r>
    <s v="U858"/>
    <s v="S4042"/>
    <x v="765"/>
    <s v="Purchase"/>
    <s v="P374"/>
    <x v="4"/>
    <x v="2"/>
    <x v="0"/>
    <n v="991"/>
  </r>
  <r>
    <s v="U925"/>
    <s v="S3132"/>
    <x v="766"/>
    <s v="View"/>
    <s v="P619"/>
    <x v="4"/>
    <x v="0"/>
    <x v="2"/>
    <n v="0"/>
  </r>
  <r>
    <s v="U713"/>
    <s v="S6632"/>
    <x v="767"/>
    <s v="View"/>
    <s v="P329"/>
    <x v="2"/>
    <x v="1"/>
    <x v="0"/>
    <n v="0"/>
  </r>
  <r>
    <s v="U511"/>
    <s v="S2181"/>
    <x v="768"/>
    <s v="Add_to_Cart"/>
    <s v="P210"/>
    <x v="1"/>
    <x v="1"/>
    <x v="0"/>
    <n v="0"/>
  </r>
  <r>
    <s v="U431"/>
    <s v="S7777"/>
    <x v="769"/>
    <s v="Add_to_Cart"/>
    <s v="P520"/>
    <x v="3"/>
    <x v="1"/>
    <x v="3"/>
    <n v="0"/>
  </r>
  <r>
    <s v="U503"/>
    <s v="S2972"/>
    <x v="770"/>
    <s v="Purchase"/>
    <s v="P793"/>
    <x v="2"/>
    <x v="1"/>
    <x v="4"/>
    <n v="3822"/>
  </r>
  <r>
    <s v="U525"/>
    <s v="S5319"/>
    <x v="771"/>
    <s v="Purchase"/>
    <s v="P952"/>
    <x v="1"/>
    <x v="1"/>
    <x v="0"/>
    <n v="3372"/>
  </r>
  <r>
    <s v="U100"/>
    <s v="S9098"/>
    <x v="450"/>
    <s v="View"/>
    <s v="P411"/>
    <x v="3"/>
    <x v="0"/>
    <x v="4"/>
    <n v="0"/>
  </r>
  <r>
    <s v="U987"/>
    <s v="S4549"/>
    <x v="772"/>
    <s v="View"/>
    <s v="P614"/>
    <x v="0"/>
    <x v="2"/>
    <x v="1"/>
    <n v="0"/>
  </r>
  <r>
    <s v="U612"/>
    <s v="S2880"/>
    <x v="773"/>
    <s v="Purchase"/>
    <s v="P440"/>
    <x v="2"/>
    <x v="1"/>
    <x v="4"/>
    <n v="3020"/>
  </r>
  <r>
    <s v="U476"/>
    <s v="S9770"/>
    <x v="774"/>
    <s v="View"/>
    <s v="P163"/>
    <x v="1"/>
    <x v="1"/>
    <x v="3"/>
    <n v="0"/>
  </r>
  <r>
    <s v="U385"/>
    <s v="S9939"/>
    <x v="775"/>
    <s v="View"/>
    <s v="P681"/>
    <x v="0"/>
    <x v="1"/>
    <x v="4"/>
    <n v="0"/>
  </r>
  <r>
    <s v="U129"/>
    <s v="S9905"/>
    <x v="776"/>
    <s v="Add_to_Cart"/>
    <s v="P887"/>
    <x v="2"/>
    <x v="1"/>
    <x v="2"/>
    <n v="0"/>
  </r>
  <r>
    <s v="U648"/>
    <s v="S7219"/>
    <x v="777"/>
    <s v="Add_to_Cart"/>
    <s v="P567"/>
    <x v="3"/>
    <x v="1"/>
    <x v="2"/>
    <n v="0"/>
  </r>
  <r>
    <s v="U139"/>
    <s v="S1409"/>
    <x v="778"/>
    <s v="Add_to_Cart"/>
    <s v="P251"/>
    <x v="4"/>
    <x v="1"/>
    <x v="1"/>
    <n v="0"/>
  </r>
  <r>
    <s v="U878"/>
    <s v="S6243"/>
    <x v="779"/>
    <s v="View"/>
    <s v="P962"/>
    <x v="1"/>
    <x v="1"/>
    <x v="0"/>
    <n v="0"/>
  </r>
  <r>
    <s v="U744"/>
    <s v="S3697"/>
    <x v="780"/>
    <s v="Purchase"/>
    <s v="P343"/>
    <x v="0"/>
    <x v="0"/>
    <x v="2"/>
    <n v="4469"/>
  </r>
  <r>
    <s v="U142"/>
    <s v="S3959"/>
    <x v="781"/>
    <s v="View"/>
    <s v="P402"/>
    <x v="4"/>
    <x v="0"/>
    <x v="2"/>
    <n v="0"/>
  </r>
  <r>
    <s v="U229"/>
    <s v="S1127"/>
    <x v="782"/>
    <s v="Purchase"/>
    <s v="P624"/>
    <x v="2"/>
    <x v="2"/>
    <x v="3"/>
    <n v="3825"/>
  </r>
  <r>
    <s v="U924"/>
    <s v="S6438"/>
    <x v="783"/>
    <s v="Add_to_Cart"/>
    <s v="P101"/>
    <x v="4"/>
    <x v="0"/>
    <x v="4"/>
    <n v="0"/>
  </r>
  <r>
    <s v="U365"/>
    <s v="S8042"/>
    <x v="784"/>
    <s v="Add_to_Cart"/>
    <s v="P844"/>
    <x v="4"/>
    <x v="0"/>
    <x v="2"/>
    <n v="0"/>
  </r>
  <r>
    <s v="U331"/>
    <s v="S3041"/>
    <x v="785"/>
    <s v="Purchase"/>
    <s v="P965"/>
    <x v="2"/>
    <x v="1"/>
    <x v="1"/>
    <n v="4596"/>
  </r>
  <r>
    <s v="U855"/>
    <s v="S3782"/>
    <x v="786"/>
    <s v="Purchase"/>
    <s v="P264"/>
    <x v="0"/>
    <x v="0"/>
    <x v="2"/>
    <n v="4733"/>
  </r>
  <r>
    <s v="U909"/>
    <s v="S7994"/>
    <x v="787"/>
    <s v="Purchase"/>
    <s v="P758"/>
    <x v="2"/>
    <x v="2"/>
    <x v="0"/>
    <n v="3991"/>
  </r>
  <r>
    <s v="U845"/>
    <s v="S4623"/>
    <x v="788"/>
    <s v="Purchase"/>
    <s v="P483"/>
    <x v="1"/>
    <x v="1"/>
    <x v="3"/>
    <n v="506"/>
  </r>
  <r>
    <s v="U577"/>
    <s v="S7500"/>
    <x v="789"/>
    <s v="Purchase"/>
    <s v="P923"/>
    <x v="1"/>
    <x v="0"/>
    <x v="0"/>
    <n v="2990"/>
  </r>
  <r>
    <s v="U460"/>
    <s v="S7153"/>
    <x v="790"/>
    <s v="View"/>
    <s v="P250"/>
    <x v="1"/>
    <x v="0"/>
    <x v="0"/>
    <n v="0"/>
  </r>
  <r>
    <s v="U778"/>
    <s v="S3891"/>
    <x v="791"/>
    <s v="Add_to_Cart"/>
    <s v="P523"/>
    <x v="2"/>
    <x v="1"/>
    <x v="2"/>
    <n v="0"/>
  </r>
  <r>
    <s v="U970"/>
    <s v="S4957"/>
    <x v="792"/>
    <s v="Add_to_Cart"/>
    <s v="P854"/>
    <x v="3"/>
    <x v="1"/>
    <x v="0"/>
    <n v="0"/>
  </r>
  <r>
    <s v="U893"/>
    <s v="S6890"/>
    <x v="793"/>
    <s v="Purchase"/>
    <s v="P104"/>
    <x v="1"/>
    <x v="2"/>
    <x v="1"/>
    <n v="553"/>
  </r>
  <r>
    <s v="U152"/>
    <s v="S3639"/>
    <x v="794"/>
    <s v="Purchase"/>
    <s v="P820"/>
    <x v="3"/>
    <x v="1"/>
    <x v="1"/>
    <n v="3775"/>
  </r>
  <r>
    <s v="U172"/>
    <s v="S9831"/>
    <x v="795"/>
    <s v="View"/>
    <s v="P168"/>
    <x v="3"/>
    <x v="0"/>
    <x v="1"/>
    <n v="0"/>
  </r>
  <r>
    <s v="U786"/>
    <s v="S2732"/>
    <x v="796"/>
    <s v="Purchase"/>
    <s v="P677"/>
    <x v="4"/>
    <x v="0"/>
    <x v="2"/>
    <n v="3663"/>
  </r>
  <r>
    <s v="U704"/>
    <s v="S7363"/>
    <x v="797"/>
    <s v="Purchase"/>
    <s v="P111"/>
    <x v="2"/>
    <x v="2"/>
    <x v="3"/>
    <n v="2943"/>
  </r>
  <r>
    <s v="U977"/>
    <s v="S9931"/>
    <x v="798"/>
    <s v="Purchase"/>
    <s v="P471"/>
    <x v="1"/>
    <x v="2"/>
    <x v="3"/>
    <n v="3097"/>
  </r>
  <r>
    <s v="U525"/>
    <s v="S4484"/>
    <x v="799"/>
    <s v="View"/>
    <s v="P251"/>
    <x v="0"/>
    <x v="0"/>
    <x v="2"/>
    <n v="0"/>
  </r>
  <r>
    <s v="U853"/>
    <s v="S5312"/>
    <x v="800"/>
    <s v="Add_to_Cart"/>
    <s v="P792"/>
    <x v="2"/>
    <x v="1"/>
    <x v="0"/>
    <n v="0"/>
  </r>
  <r>
    <s v="U428"/>
    <s v="S8687"/>
    <x v="801"/>
    <s v="Add_to_Cart"/>
    <s v="P701"/>
    <x v="1"/>
    <x v="0"/>
    <x v="1"/>
    <n v="0"/>
  </r>
  <r>
    <s v="U635"/>
    <s v="S2809"/>
    <x v="802"/>
    <s v="Add_to_Cart"/>
    <s v="P851"/>
    <x v="4"/>
    <x v="1"/>
    <x v="3"/>
    <n v="0"/>
  </r>
  <r>
    <s v="U745"/>
    <s v="S2509"/>
    <x v="803"/>
    <s v="Add_to_Cart"/>
    <s v="P600"/>
    <x v="2"/>
    <x v="1"/>
    <x v="2"/>
    <n v="0"/>
  </r>
  <r>
    <s v="U457"/>
    <s v="S3871"/>
    <x v="804"/>
    <s v="Purchase"/>
    <s v="P498"/>
    <x v="3"/>
    <x v="0"/>
    <x v="4"/>
    <n v="3497"/>
  </r>
  <r>
    <s v="U270"/>
    <s v="S1566"/>
    <x v="805"/>
    <s v="Purchase"/>
    <s v="P456"/>
    <x v="2"/>
    <x v="2"/>
    <x v="4"/>
    <n v="3035"/>
  </r>
  <r>
    <s v="U696"/>
    <s v="S2083"/>
    <x v="806"/>
    <s v="Purchase"/>
    <s v="P161"/>
    <x v="1"/>
    <x v="2"/>
    <x v="1"/>
    <n v="388"/>
  </r>
  <r>
    <s v="U167"/>
    <s v="S2322"/>
    <x v="807"/>
    <s v="Add_to_Cart"/>
    <s v="P785"/>
    <x v="3"/>
    <x v="1"/>
    <x v="2"/>
    <n v="0"/>
  </r>
  <r>
    <s v="U846"/>
    <s v="S2620"/>
    <x v="808"/>
    <s v="View"/>
    <s v="P401"/>
    <x v="3"/>
    <x v="0"/>
    <x v="2"/>
    <n v="0"/>
  </r>
  <r>
    <s v="U155"/>
    <s v="S1051"/>
    <x v="809"/>
    <s v="View"/>
    <s v="P119"/>
    <x v="4"/>
    <x v="0"/>
    <x v="1"/>
    <n v="0"/>
  </r>
  <r>
    <s v="U715"/>
    <s v="S5286"/>
    <x v="810"/>
    <s v="Add_to_Cart"/>
    <s v="P734"/>
    <x v="2"/>
    <x v="2"/>
    <x v="4"/>
    <n v="0"/>
  </r>
  <r>
    <s v="U349"/>
    <s v="S4805"/>
    <x v="811"/>
    <s v="Add_to_Cart"/>
    <s v="P960"/>
    <x v="4"/>
    <x v="1"/>
    <x v="0"/>
    <n v="0"/>
  </r>
  <r>
    <s v="U319"/>
    <s v="S1018"/>
    <x v="812"/>
    <s v="Purchase"/>
    <s v="P457"/>
    <x v="0"/>
    <x v="0"/>
    <x v="4"/>
    <n v="3540"/>
  </r>
  <r>
    <s v="U759"/>
    <s v="S6195"/>
    <x v="813"/>
    <s v="Add_to_Cart"/>
    <s v="P863"/>
    <x v="2"/>
    <x v="2"/>
    <x v="0"/>
    <n v="0"/>
  </r>
  <r>
    <s v="U999"/>
    <s v="S6765"/>
    <x v="814"/>
    <s v="Purchase"/>
    <s v="P393"/>
    <x v="0"/>
    <x v="0"/>
    <x v="4"/>
    <n v="2345"/>
  </r>
  <r>
    <s v="U623"/>
    <s v="S8120"/>
    <x v="815"/>
    <s v="Add_to_Cart"/>
    <s v="P750"/>
    <x v="4"/>
    <x v="2"/>
    <x v="2"/>
    <n v="0"/>
  </r>
  <r>
    <s v="U121"/>
    <s v="S8303"/>
    <x v="816"/>
    <s v="View"/>
    <s v="P177"/>
    <x v="4"/>
    <x v="1"/>
    <x v="4"/>
    <n v="0"/>
  </r>
  <r>
    <s v="U427"/>
    <s v="S5669"/>
    <x v="817"/>
    <s v="Purchase"/>
    <s v="P646"/>
    <x v="2"/>
    <x v="1"/>
    <x v="1"/>
    <n v="4992"/>
  </r>
  <r>
    <s v="U498"/>
    <s v="S9653"/>
    <x v="818"/>
    <s v="Purchase"/>
    <s v="P613"/>
    <x v="4"/>
    <x v="1"/>
    <x v="4"/>
    <n v="1964"/>
  </r>
  <r>
    <s v="U145"/>
    <s v="S3656"/>
    <x v="819"/>
    <s v="View"/>
    <s v="P940"/>
    <x v="0"/>
    <x v="2"/>
    <x v="3"/>
    <n v="0"/>
  </r>
  <r>
    <s v="U176"/>
    <s v="S9484"/>
    <x v="820"/>
    <s v="View"/>
    <s v="P794"/>
    <x v="4"/>
    <x v="0"/>
    <x v="1"/>
    <n v="0"/>
  </r>
  <r>
    <s v="U701"/>
    <s v="S6940"/>
    <x v="821"/>
    <s v="View"/>
    <s v="P256"/>
    <x v="0"/>
    <x v="2"/>
    <x v="4"/>
    <n v="0"/>
  </r>
  <r>
    <s v="U767"/>
    <s v="S9333"/>
    <x v="822"/>
    <s v="Purchase"/>
    <s v="P842"/>
    <x v="0"/>
    <x v="1"/>
    <x v="2"/>
    <n v="2686"/>
  </r>
  <r>
    <s v="U280"/>
    <s v="S6125"/>
    <x v="823"/>
    <s v="View"/>
    <s v="P299"/>
    <x v="3"/>
    <x v="1"/>
    <x v="0"/>
    <n v="0"/>
  </r>
  <r>
    <s v="U339"/>
    <s v="S5375"/>
    <x v="824"/>
    <s v="View"/>
    <s v="P465"/>
    <x v="1"/>
    <x v="2"/>
    <x v="1"/>
    <n v="0"/>
  </r>
  <r>
    <s v="U957"/>
    <s v="S9864"/>
    <x v="825"/>
    <s v="View"/>
    <s v="P522"/>
    <x v="2"/>
    <x v="0"/>
    <x v="0"/>
    <n v="0"/>
  </r>
  <r>
    <s v="U980"/>
    <s v="S1721"/>
    <x v="826"/>
    <s v="Purchase"/>
    <s v="P270"/>
    <x v="2"/>
    <x v="1"/>
    <x v="1"/>
    <n v="1355"/>
  </r>
  <r>
    <s v="U169"/>
    <s v="S3935"/>
    <x v="827"/>
    <s v="View"/>
    <s v="P662"/>
    <x v="0"/>
    <x v="0"/>
    <x v="1"/>
    <n v="0"/>
  </r>
  <r>
    <s v="U419"/>
    <s v="S6992"/>
    <x v="828"/>
    <s v="Purchase"/>
    <s v="P864"/>
    <x v="1"/>
    <x v="1"/>
    <x v="1"/>
    <n v="211"/>
  </r>
  <r>
    <s v="U473"/>
    <s v="S6424"/>
    <x v="829"/>
    <s v="Purchase"/>
    <s v="P996"/>
    <x v="0"/>
    <x v="0"/>
    <x v="4"/>
    <n v="3144"/>
  </r>
  <r>
    <s v="U922"/>
    <s v="S2545"/>
    <x v="830"/>
    <s v="Add_to_Cart"/>
    <s v="P767"/>
    <x v="1"/>
    <x v="0"/>
    <x v="2"/>
    <n v="0"/>
  </r>
  <r>
    <s v="U247"/>
    <s v="S7158"/>
    <x v="831"/>
    <s v="View"/>
    <s v="P734"/>
    <x v="2"/>
    <x v="2"/>
    <x v="4"/>
    <n v="0"/>
  </r>
  <r>
    <s v="U673"/>
    <s v="S9374"/>
    <x v="832"/>
    <s v="Add_to_Cart"/>
    <s v="P207"/>
    <x v="4"/>
    <x v="2"/>
    <x v="1"/>
    <n v="0"/>
  </r>
  <r>
    <s v="U318"/>
    <s v="S6113"/>
    <x v="833"/>
    <s v="Add_to_Cart"/>
    <s v="P847"/>
    <x v="4"/>
    <x v="0"/>
    <x v="1"/>
    <n v="0"/>
  </r>
  <r>
    <s v="U684"/>
    <s v="S1654"/>
    <x v="834"/>
    <s v="Add_to_Cart"/>
    <s v="P147"/>
    <x v="0"/>
    <x v="0"/>
    <x v="3"/>
    <n v="0"/>
  </r>
  <r>
    <s v="U192"/>
    <s v="S9736"/>
    <x v="835"/>
    <s v="Add_to_Cart"/>
    <s v="P682"/>
    <x v="0"/>
    <x v="1"/>
    <x v="3"/>
    <n v="0"/>
  </r>
  <r>
    <s v="U259"/>
    <s v="S5553"/>
    <x v="836"/>
    <s v="View"/>
    <s v="P218"/>
    <x v="4"/>
    <x v="0"/>
    <x v="2"/>
    <n v="0"/>
  </r>
  <r>
    <s v="U916"/>
    <s v="S8659"/>
    <x v="837"/>
    <s v="View"/>
    <s v="P849"/>
    <x v="2"/>
    <x v="0"/>
    <x v="3"/>
    <n v="0"/>
  </r>
  <r>
    <s v="U559"/>
    <s v="S1919"/>
    <x v="838"/>
    <s v="Purchase"/>
    <s v="P592"/>
    <x v="0"/>
    <x v="0"/>
    <x v="0"/>
    <n v="2653"/>
  </r>
  <r>
    <s v="U982"/>
    <s v="S1134"/>
    <x v="839"/>
    <s v="View"/>
    <s v="P892"/>
    <x v="4"/>
    <x v="1"/>
    <x v="0"/>
    <n v="0"/>
  </r>
  <r>
    <s v="U586"/>
    <s v="S6294"/>
    <x v="840"/>
    <s v="Add_to_Cart"/>
    <s v="P251"/>
    <x v="1"/>
    <x v="0"/>
    <x v="3"/>
    <n v="0"/>
  </r>
  <r>
    <s v="U816"/>
    <s v="S9436"/>
    <x v="841"/>
    <s v="Add_to_Cart"/>
    <s v="P398"/>
    <x v="3"/>
    <x v="2"/>
    <x v="1"/>
    <n v="0"/>
  </r>
  <r>
    <s v="U553"/>
    <s v="S7041"/>
    <x v="842"/>
    <s v="Add_to_Cart"/>
    <s v="P385"/>
    <x v="2"/>
    <x v="2"/>
    <x v="0"/>
    <n v="0"/>
  </r>
  <r>
    <s v="U893"/>
    <s v="S6359"/>
    <x v="843"/>
    <s v="Purchase"/>
    <s v="P165"/>
    <x v="4"/>
    <x v="0"/>
    <x v="0"/>
    <n v="1084"/>
  </r>
  <r>
    <s v="U292"/>
    <s v="S2337"/>
    <x v="844"/>
    <s v="View"/>
    <s v="P687"/>
    <x v="0"/>
    <x v="1"/>
    <x v="0"/>
    <n v="0"/>
  </r>
  <r>
    <s v="U166"/>
    <s v="S6036"/>
    <x v="845"/>
    <s v="Purchase"/>
    <s v="P488"/>
    <x v="1"/>
    <x v="2"/>
    <x v="0"/>
    <n v="317"/>
  </r>
  <r>
    <s v="U811"/>
    <s v="S8497"/>
    <x v="846"/>
    <s v="Add_to_Cart"/>
    <s v="P921"/>
    <x v="0"/>
    <x v="1"/>
    <x v="3"/>
    <n v="0"/>
  </r>
  <r>
    <s v="U282"/>
    <s v="S7212"/>
    <x v="847"/>
    <s v="Purchase"/>
    <s v="P501"/>
    <x v="3"/>
    <x v="0"/>
    <x v="2"/>
    <n v="3913"/>
  </r>
  <r>
    <s v="U745"/>
    <s v="S2899"/>
    <x v="848"/>
    <s v="Add_to_Cart"/>
    <s v="P203"/>
    <x v="2"/>
    <x v="1"/>
    <x v="4"/>
    <n v="0"/>
  </r>
  <r>
    <s v="U109"/>
    <s v="S2972"/>
    <x v="849"/>
    <s v="Purchase"/>
    <s v="P933"/>
    <x v="1"/>
    <x v="0"/>
    <x v="3"/>
    <n v="4287"/>
  </r>
  <r>
    <s v="U150"/>
    <s v="S5470"/>
    <x v="850"/>
    <s v="View"/>
    <s v="P493"/>
    <x v="0"/>
    <x v="0"/>
    <x v="4"/>
    <n v="0"/>
  </r>
  <r>
    <s v="U405"/>
    <s v="S8727"/>
    <x v="851"/>
    <s v="View"/>
    <s v="P304"/>
    <x v="4"/>
    <x v="2"/>
    <x v="4"/>
    <n v="0"/>
  </r>
  <r>
    <s v="U365"/>
    <s v="S9757"/>
    <x v="852"/>
    <s v="Purchase"/>
    <s v="P431"/>
    <x v="1"/>
    <x v="0"/>
    <x v="1"/>
    <n v="1629"/>
  </r>
  <r>
    <s v="U563"/>
    <s v="S5412"/>
    <x v="853"/>
    <s v="Purchase"/>
    <s v="P687"/>
    <x v="2"/>
    <x v="2"/>
    <x v="2"/>
    <n v="1876"/>
  </r>
  <r>
    <s v="U570"/>
    <s v="S6526"/>
    <x v="854"/>
    <s v="View"/>
    <s v="P392"/>
    <x v="0"/>
    <x v="2"/>
    <x v="3"/>
    <n v="0"/>
  </r>
  <r>
    <s v="U966"/>
    <s v="S1739"/>
    <x v="855"/>
    <s v="Add_to_Cart"/>
    <s v="P699"/>
    <x v="1"/>
    <x v="1"/>
    <x v="0"/>
    <n v="0"/>
  </r>
  <r>
    <s v="U659"/>
    <s v="S7472"/>
    <x v="856"/>
    <s v="Add_to_Cart"/>
    <s v="P541"/>
    <x v="3"/>
    <x v="1"/>
    <x v="4"/>
    <n v="0"/>
  </r>
  <r>
    <s v="U569"/>
    <s v="S2418"/>
    <x v="857"/>
    <s v="Add_to_Cart"/>
    <s v="P781"/>
    <x v="3"/>
    <x v="1"/>
    <x v="4"/>
    <n v="0"/>
  </r>
  <r>
    <s v="U210"/>
    <s v="S4551"/>
    <x v="858"/>
    <s v="View"/>
    <s v="P517"/>
    <x v="4"/>
    <x v="2"/>
    <x v="1"/>
    <n v="0"/>
  </r>
  <r>
    <s v="U123"/>
    <s v="S4075"/>
    <x v="859"/>
    <s v="View"/>
    <s v="P969"/>
    <x v="0"/>
    <x v="1"/>
    <x v="4"/>
    <n v="0"/>
  </r>
  <r>
    <s v="U547"/>
    <s v="S7964"/>
    <x v="860"/>
    <s v="Purchase"/>
    <s v="P998"/>
    <x v="1"/>
    <x v="1"/>
    <x v="0"/>
    <n v="4350"/>
  </r>
  <r>
    <s v="U340"/>
    <s v="S4327"/>
    <x v="861"/>
    <s v="Purchase"/>
    <s v="P415"/>
    <x v="1"/>
    <x v="0"/>
    <x v="4"/>
    <n v="2783"/>
  </r>
  <r>
    <s v="U659"/>
    <s v="S1701"/>
    <x v="862"/>
    <s v="View"/>
    <s v="P394"/>
    <x v="2"/>
    <x v="2"/>
    <x v="4"/>
    <n v="0"/>
  </r>
  <r>
    <s v="U530"/>
    <s v="S1347"/>
    <x v="863"/>
    <s v="Add_to_Cart"/>
    <s v="P575"/>
    <x v="3"/>
    <x v="0"/>
    <x v="2"/>
    <n v="0"/>
  </r>
  <r>
    <s v="U700"/>
    <s v="S9815"/>
    <x v="864"/>
    <s v="Purchase"/>
    <s v="P876"/>
    <x v="2"/>
    <x v="2"/>
    <x v="0"/>
    <n v="2744"/>
  </r>
  <r>
    <s v="U365"/>
    <s v="S4898"/>
    <x v="865"/>
    <s v="Add_to_Cart"/>
    <s v="P560"/>
    <x v="1"/>
    <x v="0"/>
    <x v="1"/>
    <n v="0"/>
  </r>
  <r>
    <s v="U211"/>
    <s v="S5974"/>
    <x v="866"/>
    <s v="View"/>
    <s v="P364"/>
    <x v="2"/>
    <x v="0"/>
    <x v="2"/>
    <n v="0"/>
  </r>
  <r>
    <s v="U479"/>
    <s v="S6499"/>
    <x v="867"/>
    <s v="Add_to_Cart"/>
    <s v="P570"/>
    <x v="2"/>
    <x v="2"/>
    <x v="4"/>
    <n v="0"/>
  </r>
  <r>
    <s v="U532"/>
    <s v="S3049"/>
    <x v="868"/>
    <s v="View"/>
    <s v="P682"/>
    <x v="2"/>
    <x v="0"/>
    <x v="4"/>
    <n v="0"/>
  </r>
  <r>
    <s v="U477"/>
    <s v="S3644"/>
    <x v="869"/>
    <s v="Purchase"/>
    <s v="P111"/>
    <x v="2"/>
    <x v="2"/>
    <x v="3"/>
    <n v="295"/>
  </r>
  <r>
    <s v="U713"/>
    <s v="S5717"/>
    <x v="870"/>
    <s v="View"/>
    <s v="P501"/>
    <x v="0"/>
    <x v="1"/>
    <x v="1"/>
    <n v="0"/>
  </r>
  <r>
    <s v="U304"/>
    <s v="S5946"/>
    <x v="871"/>
    <s v="Purchase"/>
    <s v="P695"/>
    <x v="1"/>
    <x v="0"/>
    <x v="1"/>
    <n v="4037"/>
  </r>
  <r>
    <s v="U458"/>
    <s v="S5550"/>
    <x v="872"/>
    <s v="Add_to_Cart"/>
    <s v="P108"/>
    <x v="1"/>
    <x v="1"/>
    <x v="0"/>
    <n v="0"/>
  </r>
  <r>
    <s v="U964"/>
    <s v="S4699"/>
    <x v="873"/>
    <s v="Add_to_Cart"/>
    <s v="P535"/>
    <x v="2"/>
    <x v="2"/>
    <x v="0"/>
    <n v="0"/>
  </r>
  <r>
    <s v="U442"/>
    <s v="S2118"/>
    <x v="874"/>
    <s v="View"/>
    <s v="P778"/>
    <x v="2"/>
    <x v="2"/>
    <x v="4"/>
    <n v="0"/>
  </r>
  <r>
    <s v="U821"/>
    <s v="S4081"/>
    <x v="875"/>
    <s v="Purchase"/>
    <s v="P506"/>
    <x v="2"/>
    <x v="2"/>
    <x v="0"/>
    <n v="2703"/>
  </r>
  <r>
    <s v="U182"/>
    <s v="S7714"/>
    <x v="876"/>
    <s v="View"/>
    <s v="P916"/>
    <x v="1"/>
    <x v="2"/>
    <x v="0"/>
    <n v="0"/>
  </r>
  <r>
    <s v="U215"/>
    <s v="S9936"/>
    <x v="877"/>
    <s v="View"/>
    <s v="P964"/>
    <x v="3"/>
    <x v="1"/>
    <x v="1"/>
    <n v="0"/>
  </r>
  <r>
    <s v="U734"/>
    <s v="S4334"/>
    <x v="878"/>
    <s v="Add_to_Cart"/>
    <s v="P520"/>
    <x v="4"/>
    <x v="0"/>
    <x v="2"/>
    <n v="0"/>
  </r>
  <r>
    <s v="U897"/>
    <s v="S7454"/>
    <x v="879"/>
    <s v="Add_to_Cart"/>
    <s v="P358"/>
    <x v="4"/>
    <x v="2"/>
    <x v="0"/>
    <n v="0"/>
  </r>
  <r>
    <s v="U822"/>
    <s v="S6920"/>
    <x v="880"/>
    <s v="Purchase"/>
    <s v="P343"/>
    <x v="4"/>
    <x v="0"/>
    <x v="2"/>
    <n v="4924"/>
  </r>
  <r>
    <s v="U189"/>
    <s v="S7109"/>
    <x v="881"/>
    <s v="Add_to_Cart"/>
    <s v="P935"/>
    <x v="0"/>
    <x v="0"/>
    <x v="0"/>
    <n v="0"/>
  </r>
  <r>
    <s v="U338"/>
    <s v="S5624"/>
    <x v="882"/>
    <s v="Purchase"/>
    <s v="P114"/>
    <x v="4"/>
    <x v="0"/>
    <x v="1"/>
    <n v="4915"/>
  </r>
  <r>
    <s v="U830"/>
    <s v="S5885"/>
    <x v="883"/>
    <s v="Purchase"/>
    <s v="P124"/>
    <x v="4"/>
    <x v="1"/>
    <x v="1"/>
    <n v="3415"/>
  </r>
  <r>
    <s v="U712"/>
    <s v="S4625"/>
    <x v="884"/>
    <s v="Add_to_Cart"/>
    <s v="P593"/>
    <x v="2"/>
    <x v="0"/>
    <x v="0"/>
    <n v="0"/>
  </r>
  <r>
    <s v="U724"/>
    <s v="S5721"/>
    <x v="885"/>
    <s v="Add_to_Cart"/>
    <s v="P141"/>
    <x v="3"/>
    <x v="0"/>
    <x v="3"/>
    <n v="0"/>
  </r>
  <r>
    <s v="U729"/>
    <s v="S8554"/>
    <x v="886"/>
    <s v="View"/>
    <s v="P606"/>
    <x v="3"/>
    <x v="2"/>
    <x v="4"/>
    <n v="0"/>
  </r>
  <r>
    <s v="U737"/>
    <s v="S8491"/>
    <x v="887"/>
    <s v="View"/>
    <s v="P905"/>
    <x v="4"/>
    <x v="0"/>
    <x v="3"/>
    <n v="0"/>
  </r>
  <r>
    <s v="U424"/>
    <s v="S3364"/>
    <x v="888"/>
    <s v="Purchase"/>
    <s v="P739"/>
    <x v="4"/>
    <x v="1"/>
    <x v="4"/>
    <n v="2759"/>
  </r>
  <r>
    <s v="U752"/>
    <s v="S8339"/>
    <x v="889"/>
    <s v="View"/>
    <s v="P627"/>
    <x v="1"/>
    <x v="0"/>
    <x v="3"/>
    <n v="0"/>
  </r>
  <r>
    <s v="U851"/>
    <s v="S6401"/>
    <x v="890"/>
    <s v="Purchase"/>
    <s v="P722"/>
    <x v="0"/>
    <x v="2"/>
    <x v="2"/>
    <n v="3751"/>
  </r>
  <r>
    <s v="U286"/>
    <s v="S4469"/>
    <x v="891"/>
    <s v="Add_to_Cart"/>
    <s v="P354"/>
    <x v="0"/>
    <x v="1"/>
    <x v="2"/>
    <n v="0"/>
  </r>
  <r>
    <s v="U711"/>
    <s v="S4204"/>
    <x v="892"/>
    <s v="View"/>
    <s v="P808"/>
    <x v="2"/>
    <x v="1"/>
    <x v="0"/>
    <n v="0"/>
  </r>
  <r>
    <s v="U320"/>
    <s v="S3061"/>
    <x v="893"/>
    <s v="View"/>
    <s v="P221"/>
    <x v="2"/>
    <x v="2"/>
    <x v="4"/>
    <n v="0"/>
  </r>
  <r>
    <s v="U773"/>
    <s v="S9196"/>
    <x v="894"/>
    <s v="Purchase"/>
    <s v="P932"/>
    <x v="4"/>
    <x v="2"/>
    <x v="0"/>
    <n v="2002"/>
  </r>
  <r>
    <s v="U711"/>
    <s v="S8914"/>
    <x v="895"/>
    <s v="Purchase"/>
    <s v="P701"/>
    <x v="3"/>
    <x v="0"/>
    <x v="4"/>
    <n v="3124"/>
  </r>
  <r>
    <s v="U241"/>
    <s v="S9179"/>
    <x v="896"/>
    <s v="Purchase"/>
    <s v="P708"/>
    <x v="2"/>
    <x v="2"/>
    <x v="1"/>
    <n v="1107"/>
  </r>
  <r>
    <s v="U211"/>
    <s v="S3019"/>
    <x v="897"/>
    <s v="Add_to_Cart"/>
    <s v="P831"/>
    <x v="0"/>
    <x v="1"/>
    <x v="0"/>
    <n v="0"/>
  </r>
  <r>
    <s v="U507"/>
    <s v="S5938"/>
    <x v="898"/>
    <s v="View"/>
    <s v="P304"/>
    <x v="1"/>
    <x v="2"/>
    <x v="3"/>
    <n v="0"/>
  </r>
  <r>
    <s v="U738"/>
    <s v="S8778"/>
    <x v="899"/>
    <s v="View"/>
    <s v="P389"/>
    <x v="1"/>
    <x v="0"/>
    <x v="1"/>
    <n v="0"/>
  </r>
  <r>
    <s v="U247"/>
    <s v="S7746"/>
    <x v="900"/>
    <s v="Purchase"/>
    <s v="P320"/>
    <x v="0"/>
    <x v="0"/>
    <x v="3"/>
    <n v="1591"/>
  </r>
  <r>
    <s v="U186"/>
    <s v="S8243"/>
    <x v="901"/>
    <s v="Add_to_Cart"/>
    <s v="P814"/>
    <x v="4"/>
    <x v="0"/>
    <x v="3"/>
    <n v="0"/>
  </r>
  <r>
    <s v="U899"/>
    <s v="S6645"/>
    <x v="902"/>
    <s v="View"/>
    <s v="P402"/>
    <x v="1"/>
    <x v="2"/>
    <x v="4"/>
    <n v="0"/>
  </r>
  <r>
    <s v="U277"/>
    <s v="S4137"/>
    <x v="903"/>
    <s v="Purchase"/>
    <s v="P106"/>
    <x v="0"/>
    <x v="2"/>
    <x v="2"/>
    <n v="2946"/>
  </r>
  <r>
    <s v="U913"/>
    <s v="S5719"/>
    <x v="904"/>
    <s v="Purchase"/>
    <s v="P279"/>
    <x v="2"/>
    <x v="2"/>
    <x v="1"/>
    <n v="2115"/>
  </r>
  <r>
    <s v="U923"/>
    <s v="S7179"/>
    <x v="905"/>
    <s v="View"/>
    <s v="P733"/>
    <x v="2"/>
    <x v="1"/>
    <x v="2"/>
    <n v="0"/>
  </r>
  <r>
    <s v="U199"/>
    <s v="S6922"/>
    <x v="906"/>
    <s v="Add_to_Cart"/>
    <s v="P391"/>
    <x v="3"/>
    <x v="1"/>
    <x v="3"/>
    <n v="0"/>
  </r>
  <r>
    <s v="U313"/>
    <s v="S3627"/>
    <x v="907"/>
    <s v="View"/>
    <s v="P336"/>
    <x v="4"/>
    <x v="2"/>
    <x v="0"/>
    <n v="0"/>
  </r>
  <r>
    <s v="U161"/>
    <s v="S8548"/>
    <x v="908"/>
    <s v="View"/>
    <s v="P586"/>
    <x v="2"/>
    <x v="0"/>
    <x v="0"/>
    <n v="0"/>
  </r>
  <r>
    <s v="U461"/>
    <s v="S1851"/>
    <x v="909"/>
    <s v="Purchase"/>
    <s v="P376"/>
    <x v="3"/>
    <x v="2"/>
    <x v="1"/>
    <n v="2478"/>
  </r>
  <r>
    <s v="U516"/>
    <s v="S6501"/>
    <x v="910"/>
    <s v="View"/>
    <s v="P724"/>
    <x v="2"/>
    <x v="2"/>
    <x v="0"/>
    <n v="0"/>
  </r>
  <r>
    <s v="U438"/>
    <s v="S7213"/>
    <x v="257"/>
    <s v="Purchase"/>
    <s v="P501"/>
    <x v="1"/>
    <x v="0"/>
    <x v="3"/>
    <n v="3941"/>
  </r>
  <r>
    <s v="U691"/>
    <s v="S9032"/>
    <x v="911"/>
    <s v="Add_to_Cart"/>
    <s v="P735"/>
    <x v="1"/>
    <x v="1"/>
    <x v="1"/>
    <n v="0"/>
  </r>
  <r>
    <s v="U596"/>
    <s v="S1906"/>
    <x v="912"/>
    <s v="Add_to_Cart"/>
    <s v="P932"/>
    <x v="2"/>
    <x v="0"/>
    <x v="2"/>
    <n v="0"/>
  </r>
  <r>
    <s v="U673"/>
    <s v="S6086"/>
    <x v="913"/>
    <s v="View"/>
    <s v="P989"/>
    <x v="2"/>
    <x v="2"/>
    <x v="2"/>
    <n v="0"/>
  </r>
  <r>
    <s v="U266"/>
    <s v="S7278"/>
    <x v="914"/>
    <s v="Add_to_Cart"/>
    <s v="P450"/>
    <x v="0"/>
    <x v="1"/>
    <x v="0"/>
    <n v="0"/>
  </r>
  <r>
    <s v="U281"/>
    <s v="S6931"/>
    <x v="915"/>
    <s v="Add_to_Cart"/>
    <s v="P551"/>
    <x v="4"/>
    <x v="2"/>
    <x v="0"/>
    <n v="0"/>
  </r>
  <r>
    <s v="U701"/>
    <s v="S4573"/>
    <x v="916"/>
    <s v="Add_to_Cart"/>
    <s v="P287"/>
    <x v="0"/>
    <x v="0"/>
    <x v="0"/>
    <n v="0"/>
  </r>
  <r>
    <s v="U941"/>
    <s v="S2528"/>
    <x v="917"/>
    <s v="Add_to_Cart"/>
    <s v="P985"/>
    <x v="2"/>
    <x v="0"/>
    <x v="1"/>
    <n v="0"/>
  </r>
  <r>
    <s v="U932"/>
    <s v="S3806"/>
    <x v="918"/>
    <s v="View"/>
    <s v="P316"/>
    <x v="1"/>
    <x v="1"/>
    <x v="2"/>
    <n v="0"/>
  </r>
  <r>
    <s v="U403"/>
    <s v="S3167"/>
    <x v="919"/>
    <s v="View"/>
    <s v="P841"/>
    <x v="0"/>
    <x v="1"/>
    <x v="2"/>
    <n v="0"/>
  </r>
  <r>
    <s v="U224"/>
    <s v="S8030"/>
    <x v="920"/>
    <s v="View"/>
    <s v="P149"/>
    <x v="0"/>
    <x v="0"/>
    <x v="2"/>
    <n v="0"/>
  </r>
  <r>
    <s v="U222"/>
    <s v="S8061"/>
    <x v="921"/>
    <s v="Add_to_Cart"/>
    <s v="P508"/>
    <x v="3"/>
    <x v="2"/>
    <x v="4"/>
    <n v="0"/>
  </r>
  <r>
    <s v="U517"/>
    <s v="S4583"/>
    <x v="922"/>
    <s v="Add_to_Cart"/>
    <s v="P277"/>
    <x v="2"/>
    <x v="0"/>
    <x v="2"/>
    <n v="0"/>
  </r>
  <r>
    <s v="U922"/>
    <s v="S6025"/>
    <x v="923"/>
    <s v="View"/>
    <s v="P810"/>
    <x v="1"/>
    <x v="1"/>
    <x v="4"/>
    <n v="0"/>
  </r>
  <r>
    <s v="U204"/>
    <s v="S3474"/>
    <x v="924"/>
    <s v="Purchase"/>
    <s v="P663"/>
    <x v="4"/>
    <x v="1"/>
    <x v="3"/>
    <n v="3016"/>
  </r>
  <r>
    <s v="U612"/>
    <s v="S8832"/>
    <x v="925"/>
    <s v="Purchase"/>
    <s v="P466"/>
    <x v="2"/>
    <x v="2"/>
    <x v="4"/>
    <n v="4977"/>
  </r>
  <r>
    <s v="U452"/>
    <s v="S2801"/>
    <x v="926"/>
    <s v="View"/>
    <s v="P191"/>
    <x v="4"/>
    <x v="2"/>
    <x v="4"/>
    <n v="0"/>
  </r>
  <r>
    <s v="U529"/>
    <s v="S6437"/>
    <x v="927"/>
    <s v="View"/>
    <s v="P778"/>
    <x v="2"/>
    <x v="0"/>
    <x v="3"/>
    <n v="0"/>
  </r>
  <r>
    <s v="U305"/>
    <s v="S8838"/>
    <x v="928"/>
    <s v="Add_to_Cart"/>
    <s v="P333"/>
    <x v="3"/>
    <x v="2"/>
    <x v="0"/>
    <n v="0"/>
  </r>
  <r>
    <s v="U638"/>
    <s v="S5612"/>
    <x v="929"/>
    <s v="Purchase"/>
    <s v="P423"/>
    <x v="1"/>
    <x v="0"/>
    <x v="1"/>
    <n v="4569"/>
  </r>
  <r>
    <s v="U121"/>
    <s v="S6947"/>
    <x v="930"/>
    <s v="Add_to_Cart"/>
    <s v="P655"/>
    <x v="4"/>
    <x v="2"/>
    <x v="3"/>
    <n v="0"/>
  </r>
  <r>
    <s v="U536"/>
    <s v="S5495"/>
    <x v="931"/>
    <s v="Purchase"/>
    <s v="P413"/>
    <x v="3"/>
    <x v="1"/>
    <x v="2"/>
    <n v="4472"/>
  </r>
  <r>
    <s v="U670"/>
    <s v="S9852"/>
    <x v="932"/>
    <s v="Add_to_Cart"/>
    <s v="P133"/>
    <x v="4"/>
    <x v="2"/>
    <x v="4"/>
    <n v="0"/>
  </r>
  <r>
    <s v="U548"/>
    <s v="S3745"/>
    <x v="933"/>
    <s v="Add_to_Cart"/>
    <s v="P124"/>
    <x v="2"/>
    <x v="2"/>
    <x v="3"/>
    <n v="0"/>
  </r>
  <r>
    <s v="U695"/>
    <s v="S2819"/>
    <x v="934"/>
    <s v="View"/>
    <s v="P270"/>
    <x v="3"/>
    <x v="0"/>
    <x v="3"/>
    <n v="0"/>
  </r>
  <r>
    <s v="U246"/>
    <s v="S8118"/>
    <x v="935"/>
    <s v="Add_to_Cart"/>
    <s v="P964"/>
    <x v="4"/>
    <x v="1"/>
    <x v="2"/>
    <n v="0"/>
  </r>
  <r>
    <s v="U897"/>
    <s v="S9660"/>
    <x v="936"/>
    <s v="View"/>
    <s v="P391"/>
    <x v="3"/>
    <x v="2"/>
    <x v="0"/>
    <n v="0"/>
  </r>
  <r>
    <s v="U442"/>
    <s v="S2083"/>
    <x v="937"/>
    <s v="Purchase"/>
    <s v="P264"/>
    <x v="2"/>
    <x v="2"/>
    <x v="1"/>
    <n v="1701"/>
  </r>
  <r>
    <s v="U970"/>
    <s v="S3865"/>
    <x v="938"/>
    <s v="Purchase"/>
    <s v="P904"/>
    <x v="2"/>
    <x v="2"/>
    <x v="4"/>
    <n v="707"/>
  </r>
  <r>
    <s v="U422"/>
    <s v="S6706"/>
    <x v="939"/>
    <s v="View"/>
    <s v="P249"/>
    <x v="0"/>
    <x v="2"/>
    <x v="2"/>
    <n v="0"/>
  </r>
  <r>
    <s v="U929"/>
    <s v="S4817"/>
    <x v="940"/>
    <s v="Add_to_Cart"/>
    <s v="P712"/>
    <x v="2"/>
    <x v="1"/>
    <x v="4"/>
    <n v="0"/>
  </r>
  <r>
    <s v="U984"/>
    <s v="S6431"/>
    <x v="50"/>
    <s v="Purchase"/>
    <s v="P401"/>
    <x v="3"/>
    <x v="2"/>
    <x v="4"/>
    <n v="2287"/>
  </r>
  <r>
    <s v="U137"/>
    <s v="S6509"/>
    <x v="941"/>
    <s v="Purchase"/>
    <s v="P936"/>
    <x v="0"/>
    <x v="0"/>
    <x v="4"/>
    <n v="995"/>
  </r>
  <r>
    <s v="U373"/>
    <s v="S6124"/>
    <x v="942"/>
    <s v="View"/>
    <s v="P140"/>
    <x v="4"/>
    <x v="2"/>
    <x v="4"/>
    <n v="0"/>
  </r>
  <r>
    <s v="U770"/>
    <s v="S3977"/>
    <x v="943"/>
    <s v="Purchase"/>
    <s v="P291"/>
    <x v="3"/>
    <x v="2"/>
    <x v="3"/>
    <n v="2349"/>
  </r>
  <r>
    <s v="U345"/>
    <s v="S7751"/>
    <x v="944"/>
    <s v="Add_to_Cart"/>
    <s v="P828"/>
    <x v="4"/>
    <x v="2"/>
    <x v="0"/>
    <n v="0"/>
  </r>
  <r>
    <s v="U100"/>
    <s v="S6091"/>
    <x v="945"/>
    <s v="View"/>
    <s v="P299"/>
    <x v="0"/>
    <x v="1"/>
    <x v="0"/>
    <n v="0"/>
  </r>
  <r>
    <s v="U941"/>
    <s v="S1755"/>
    <x v="946"/>
    <s v="Purchase"/>
    <s v="P214"/>
    <x v="1"/>
    <x v="1"/>
    <x v="2"/>
    <n v="1593"/>
  </r>
  <r>
    <s v="U745"/>
    <s v="S3962"/>
    <x v="947"/>
    <s v="Purchase"/>
    <s v="P402"/>
    <x v="2"/>
    <x v="0"/>
    <x v="0"/>
    <n v="549"/>
  </r>
  <r>
    <s v="U496"/>
    <s v="S9903"/>
    <x v="948"/>
    <s v="Purchase"/>
    <s v="P344"/>
    <x v="2"/>
    <x v="0"/>
    <x v="2"/>
    <n v="3553"/>
  </r>
  <r>
    <s v="U428"/>
    <s v="S4709"/>
    <x v="949"/>
    <s v="View"/>
    <s v="P755"/>
    <x v="1"/>
    <x v="1"/>
    <x v="2"/>
    <n v="0"/>
  </r>
  <r>
    <s v="U247"/>
    <s v="S5737"/>
    <x v="950"/>
    <s v="Add_to_Cart"/>
    <s v="P947"/>
    <x v="1"/>
    <x v="2"/>
    <x v="3"/>
    <n v="0"/>
  </r>
  <r>
    <s v="U563"/>
    <s v="S3799"/>
    <x v="951"/>
    <s v="Add_to_Cart"/>
    <s v="P617"/>
    <x v="1"/>
    <x v="2"/>
    <x v="4"/>
    <n v="0"/>
  </r>
  <r>
    <s v="U361"/>
    <s v="S3760"/>
    <x v="952"/>
    <s v="Add_to_Cart"/>
    <s v="P702"/>
    <x v="4"/>
    <x v="1"/>
    <x v="2"/>
    <n v="0"/>
  </r>
  <r>
    <s v="U637"/>
    <s v="S1314"/>
    <x v="953"/>
    <s v="Purchase"/>
    <s v="P734"/>
    <x v="1"/>
    <x v="0"/>
    <x v="0"/>
    <n v="2484"/>
  </r>
  <r>
    <s v="U783"/>
    <s v="S3800"/>
    <x v="954"/>
    <s v="Add_to_Cart"/>
    <s v="P893"/>
    <x v="3"/>
    <x v="0"/>
    <x v="2"/>
    <n v="0"/>
  </r>
  <r>
    <s v="U141"/>
    <s v="S2991"/>
    <x v="955"/>
    <s v="Add_to_Cart"/>
    <s v="P906"/>
    <x v="0"/>
    <x v="1"/>
    <x v="0"/>
    <n v="0"/>
  </r>
  <r>
    <s v="U160"/>
    <s v="S6594"/>
    <x v="956"/>
    <s v="Purchase"/>
    <s v="P106"/>
    <x v="1"/>
    <x v="0"/>
    <x v="2"/>
    <n v="4324"/>
  </r>
  <r>
    <s v="U952"/>
    <s v="S9557"/>
    <x v="957"/>
    <s v="Purchase"/>
    <s v="P629"/>
    <x v="4"/>
    <x v="0"/>
    <x v="3"/>
    <n v="868"/>
  </r>
  <r>
    <s v="U328"/>
    <s v="S5441"/>
    <x v="958"/>
    <s v="Add_to_Cart"/>
    <s v="P852"/>
    <x v="1"/>
    <x v="0"/>
    <x v="4"/>
    <n v="0"/>
  </r>
  <r>
    <s v="U687"/>
    <s v="S7689"/>
    <x v="959"/>
    <s v="Add_to_Cart"/>
    <s v="P643"/>
    <x v="1"/>
    <x v="1"/>
    <x v="3"/>
    <n v="0"/>
  </r>
  <r>
    <s v="U987"/>
    <s v="S2086"/>
    <x v="960"/>
    <s v="Add_to_Cart"/>
    <s v="P599"/>
    <x v="3"/>
    <x v="1"/>
    <x v="2"/>
    <n v="0"/>
  </r>
  <r>
    <s v="U860"/>
    <s v="S6533"/>
    <x v="961"/>
    <s v="Add_to_Cart"/>
    <s v="P846"/>
    <x v="0"/>
    <x v="2"/>
    <x v="0"/>
    <n v="0"/>
  </r>
  <r>
    <s v="U301"/>
    <s v="S7635"/>
    <x v="962"/>
    <s v="Purchase"/>
    <s v="P416"/>
    <x v="3"/>
    <x v="2"/>
    <x v="2"/>
    <n v="892"/>
  </r>
  <r>
    <s v="U710"/>
    <s v="S3713"/>
    <x v="259"/>
    <s v="Purchase"/>
    <s v="P841"/>
    <x v="0"/>
    <x v="0"/>
    <x v="3"/>
    <n v="1741"/>
  </r>
  <r>
    <s v="U342"/>
    <s v="S6250"/>
    <x v="963"/>
    <s v="Add_to_Cart"/>
    <s v="P134"/>
    <x v="1"/>
    <x v="1"/>
    <x v="0"/>
    <n v="0"/>
  </r>
  <r>
    <s v="U472"/>
    <s v="S3745"/>
    <x v="964"/>
    <s v="Add_to_Cart"/>
    <s v="P241"/>
    <x v="1"/>
    <x v="0"/>
    <x v="1"/>
    <n v="0"/>
  </r>
  <r>
    <s v="U337"/>
    <s v="S5567"/>
    <x v="965"/>
    <s v="View"/>
    <s v="P674"/>
    <x v="2"/>
    <x v="1"/>
    <x v="2"/>
    <n v="0"/>
  </r>
  <r>
    <s v="U248"/>
    <s v="S7573"/>
    <x v="966"/>
    <s v="Purchase"/>
    <s v="P426"/>
    <x v="3"/>
    <x v="2"/>
    <x v="3"/>
    <n v="2583"/>
  </r>
  <r>
    <s v="U682"/>
    <s v="S4463"/>
    <x v="967"/>
    <s v="Add_to_Cart"/>
    <s v="P358"/>
    <x v="4"/>
    <x v="1"/>
    <x v="1"/>
    <n v="0"/>
  </r>
  <r>
    <s v="U588"/>
    <s v="S6224"/>
    <x v="968"/>
    <s v="Add_to_Cart"/>
    <s v="P298"/>
    <x v="3"/>
    <x v="0"/>
    <x v="0"/>
    <n v="0"/>
  </r>
  <r>
    <s v="U742"/>
    <s v="S1187"/>
    <x v="969"/>
    <s v="Purchase"/>
    <s v="P885"/>
    <x v="2"/>
    <x v="1"/>
    <x v="2"/>
    <n v="2841"/>
  </r>
  <r>
    <s v="U504"/>
    <s v="S2178"/>
    <x v="970"/>
    <s v="View"/>
    <s v="P249"/>
    <x v="1"/>
    <x v="2"/>
    <x v="4"/>
    <n v="0"/>
  </r>
  <r>
    <s v="U213"/>
    <s v="S9247"/>
    <x v="971"/>
    <s v="View"/>
    <s v="P825"/>
    <x v="1"/>
    <x v="2"/>
    <x v="0"/>
    <n v="0"/>
  </r>
  <r>
    <s v="U565"/>
    <s v="S2376"/>
    <x v="972"/>
    <s v="View"/>
    <s v="P466"/>
    <x v="4"/>
    <x v="0"/>
    <x v="4"/>
    <n v="0"/>
  </r>
  <r>
    <s v="U826"/>
    <s v="S4432"/>
    <x v="973"/>
    <s v="View"/>
    <s v="P357"/>
    <x v="3"/>
    <x v="0"/>
    <x v="2"/>
    <n v="0"/>
  </r>
  <r>
    <s v="U805"/>
    <s v="S7496"/>
    <x v="974"/>
    <s v="View"/>
    <s v="P125"/>
    <x v="0"/>
    <x v="1"/>
    <x v="2"/>
    <n v="0"/>
  </r>
  <r>
    <s v="U793"/>
    <s v="S4447"/>
    <x v="975"/>
    <s v="Add_to_Cart"/>
    <s v="P965"/>
    <x v="1"/>
    <x v="2"/>
    <x v="1"/>
    <n v="0"/>
  </r>
  <r>
    <s v="U392"/>
    <s v="S3681"/>
    <x v="976"/>
    <s v="Purchase"/>
    <s v="P526"/>
    <x v="3"/>
    <x v="2"/>
    <x v="4"/>
    <n v="519"/>
  </r>
  <r>
    <s v="U146"/>
    <s v="S7664"/>
    <x v="977"/>
    <s v="View"/>
    <s v="P496"/>
    <x v="2"/>
    <x v="2"/>
    <x v="0"/>
    <n v="0"/>
  </r>
  <r>
    <s v="U584"/>
    <s v="S9615"/>
    <x v="978"/>
    <s v="View"/>
    <s v="P986"/>
    <x v="1"/>
    <x v="2"/>
    <x v="0"/>
    <n v="0"/>
  </r>
  <r>
    <s v="U567"/>
    <s v="S3313"/>
    <x v="979"/>
    <s v="Add_to_Cart"/>
    <s v="P267"/>
    <x v="3"/>
    <x v="0"/>
    <x v="1"/>
    <n v="0"/>
  </r>
  <r>
    <s v="U267"/>
    <s v="S6742"/>
    <x v="980"/>
    <s v="Add_to_Cart"/>
    <s v="P300"/>
    <x v="3"/>
    <x v="0"/>
    <x v="3"/>
    <n v="0"/>
  </r>
  <r>
    <s v="U500"/>
    <s v="S6911"/>
    <x v="981"/>
    <s v="Add_to_Cart"/>
    <s v="P700"/>
    <x v="0"/>
    <x v="1"/>
    <x v="3"/>
    <n v="0"/>
  </r>
  <r>
    <s v="U336"/>
    <s v="S1604"/>
    <x v="982"/>
    <s v="Purchase"/>
    <s v="P191"/>
    <x v="1"/>
    <x v="1"/>
    <x v="0"/>
    <n v="2649"/>
  </r>
  <r>
    <s v="U806"/>
    <s v="S1775"/>
    <x v="983"/>
    <s v="View"/>
    <s v="P471"/>
    <x v="4"/>
    <x v="0"/>
    <x v="4"/>
    <n v="0"/>
  </r>
  <r>
    <s v="U481"/>
    <s v="S3588"/>
    <x v="984"/>
    <s v="View"/>
    <s v="P790"/>
    <x v="0"/>
    <x v="2"/>
    <x v="2"/>
    <n v="0"/>
  </r>
  <r>
    <s v="U837"/>
    <s v="S2069"/>
    <x v="985"/>
    <s v="Purchase"/>
    <s v="P238"/>
    <x v="4"/>
    <x v="2"/>
    <x v="1"/>
    <n v="2373"/>
  </r>
  <r>
    <s v="U973"/>
    <s v="S7610"/>
    <x v="986"/>
    <s v="View"/>
    <s v="P162"/>
    <x v="3"/>
    <x v="0"/>
    <x v="0"/>
    <n v="0"/>
  </r>
  <r>
    <s v="U839"/>
    <s v="S8233"/>
    <x v="987"/>
    <s v="Add_to_Cart"/>
    <s v="P841"/>
    <x v="4"/>
    <x v="0"/>
    <x v="1"/>
    <n v="0"/>
  </r>
  <r>
    <s v="U427"/>
    <s v="S6476"/>
    <x v="988"/>
    <s v="Add_to_Cart"/>
    <s v="P976"/>
    <x v="1"/>
    <x v="1"/>
    <x v="1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0">
  <r>
    <s v="U641"/>
    <x v="0"/>
    <s v="2024-01-03 16:58"/>
    <x v="0"/>
    <s v="P183"/>
    <x v="0"/>
    <s v="Tablet"/>
    <x v="0"/>
    <n v="0"/>
    <d v="2024-01-03T00:00:00"/>
    <n v="1"/>
  </r>
  <r>
    <s v="U886"/>
    <x v="1"/>
    <s v="2024-01-15 14:33"/>
    <x v="1"/>
    <s v="P718"/>
    <x v="1"/>
    <s v="Mobile"/>
    <x v="1"/>
    <n v="0"/>
    <d v="2024-01-15T00:00:00"/>
    <n v="1"/>
  </r>
  <r>
    <s v="U552"/>
    <x v="2"/>
    <s v="2024-01-06 00:05"/>
    <x v="0"/>
    <s v="P628"/>
    <x v="2"/>
    <s v="Tablet"/>
    <x v="2"/>
    <n v="0"/>
    <d v="2024-01-06T00:00:00"/>
    <n v="1"/>
  </r>
  <r>
    <s v="U107"/>
    <x v="3"/>
    <s v="2024-01-22 00:08"/>
    <x v="0"/>
    <s v="P937"/>
    <x v="0"/>
    <s v="Desktop"/>
    <x v="0"/>
    <n v="0"/>
    <d v="2024-01-22T00:00:00"/>
    <n v="1"/>
  </r>
  <r>
    <s v="U639"/>
    <x v="4"/>
    <s v="2024-01-23 15:35"/>
    <x v="1"/>
    <s v="P794"/>
    <x v="3"/>
    <s v="Desktop"/>
    <x v="3"/>
    <n v="0"/>
    <d v="2024-01-23T00:00:00"/>
    <n v="1"/>
  </r>
  <r>
    <s v="U282"/>
    <x v="5"/>
    <s v="2024-01-30 12:44"/>
    <x v="2"/>
    <s v="P790"/>
    <x v="2"/>
    <s v="Tablet"/>
    <x v="1"/>
    <n v="1377"/>
    <d v="2024-01-30T00:00:00"/>
    <n v="1"/>
  </r>
  <r>
    <s v="U683"/>
    <x v="6"/>
    <s v="2024-01-26 22:26"/>
    <x v="1"/>
    <s v="P356"/>
    <x v="2"/>
    <s v="Desktop"/>
    <x v="2"/>
    <n v="0"/>
    <d v="2024-01-26T00:00:00"/>
    <n v="1"/>
  </r>
  <r>
    <s v="U369"/>
    <x v="7"/>
    <s v="2024-01-23 06:11"/>
    <x v="1"/>
    <s v="P154"/>
    <x v="1"/>
    <s v="Mobile"/>
    <x v="4"/>
    <n v="0"/>
    <d v="2024-01-23T00:00:00"/>
    <n v="1"/>
  </r>
  <r>
    <s v="U424"/>
    <x v="8"/>
    <s v="2024-01-23 14:27"/>
    <x v="0"/>
    <s v="P771"/>
    <x v="1"/>
    <s v="Desktop"/>
    <x v="1"/>
    <n v="0"/>
    <d v="2024-01-23T00:00:00"/>
    <n v="1"/>
  </r>
  <r>
    <s v="U369"/>
    <x v="9"/>
    <s v="2024-01-14 01:12"/>
    <x v="1"/>
    <s v="P729"/>
    <x v="2"/>
    <s v="Tablet"/>
    <x v="4"/>
    <n v="0"/>
    <d v="2024-01-14T00:00:00"/>
    <n v="1"/>
  </r>
  <r>
    <s v="U915"/>
    <x v="10"/>
    <s v="2024-01-17 01:40"/>
    <x v="0"/>
    <s v="P704"/>
    <x v="0"/>
    <s v="Desktop"/>
    <x v="3"/>
    <n v="0"/>
    <d v="2024-01-17T00:00:00"/>
    <n v="1"/>
  </r>
  <r>
    <s v="U215"/>
    <x v="11"/>
    <s v="2024-01-06 11:54"/>
    <x v="1"/>
    <s v="P593"/>
    <x v="1"/>
    <s v="Tablet"/>
    <x v="2"/>
    <n v="0"/>
    <d v="2024-01-06T00:00:00"/>
    <n v="1"/>
  </r>
  <r>
    <s v="U310"/>
    <x v="12"/>
    <s v="2024-01-10 00:18"/>
    <x v="2"/>
    <s v="P346"/>
    <x v="4"/>
    <s v="Mobile"/>
    <x v="3"/>
    <n v="1927"/>
    <d v="2024-01-10T00:00:00"/>
    <n v="1"/>
  </r>
  <r>
    <s v="U105"/>
    <x v="13"/>
    <s v="2024-01-29 19:03"/>
    <x v="2"/>
    <s v="P623"/>
    <x v="1"/>
    <s v="Tablet"/>
    <x v="3"/>
    <n v="1464"/>
    <d v="2024-01-29T00:00:00"/>
    <n v="1"/>
  </r>
  <r>
    <s v="U415"/>
    <x v="14"/>
    <s v="2024-01-20 05:48"/>
    <x v="1"/>
    <s v="P552"/>
    <x v="3"/>
    <s v="Desktop"/>
    <x v="2"/>
    <n v="0"/>
    <d v="2024-01-20T00:00:00"/>
    <n v="1"/>
  </r>
  <r>
    <s v="U615"/>
    <x v="15"/>
    <s v="2024-01-18 19:35"/>
    <x v="0"/>
    <s v="P894"/>
    <x v="3"/>
    <s v="Desktop"/>
    <x v="4"/>
    <n v="0"/>
    <d v="2024-01-18T00:00:00"/>
    <n v="1"/>
  </r>
  <r>
    <s v="U345"/>
    <x v="16"/>
    <s v="2024-01-14 08:43"/>
    <x v="0"/>
    <s v="P101"/>
    <x v="3"/>
    <s v="Tablet"/>
    <x v="1"/>
    <n v="0"/>
    <d v="2024-01-14T00:00:00"/>
    <n v="1"/>
  </r>
  <r>
    <s v="U527"/>
    <x v="17"/>
    <s v="2024-01-26 14:00"/>
    <x v="0"/>
    <s v="P422"/>
    <x v="1"/>
    <s v="Tablet"/>
    <x v="1"/>
    <n v="0"/>
    <d v="2024-01-26T00:00:00"/>
    <n v="1"/>
  </r>
  <r>
    <s v="U509"/>
    <x v="18"/>
    <s v="2024-01-13 03:40"/>
    <x v="2"/>
    <s v="P199"/>
    <x v="3"/>
    <s v="Mobile"/>
    <x v="4"/>
    <n v="3864"/>
    <d v="2024-01-13T00:00:00"/>
    <n v="1"/>
  </r>
  <r>
    <s v="U600"/>
    <x v="19"/>
    <s v="2024-01-13 19:37"/>
    <x v="1"/>
    <s v="P743"/>
    <x v="4"/>
    <s v="Desktop"/>
    <x v="4"/>
    <n v="0"/>
    <d v="2024-01-13T00:00:00"/>
    <n v="1"/>
  </r>
  <r>
    <s v="U574"/>
    <x v="20"/>
    <s v="2024-01-01 18:21"/>
    <x v="1"/>
    <s v="P890"/>
    <x v="4"/>
    <s v="Tablet"/>
    <x v="1"/>
    <n v="0"/>
    <d v="2024-01-01T00:00:00"/>
    <n v="1"/>
  </r>
  <r>
    <s v="U425"/>
    <x v="21"/>
    <s v="2024-01-29 13:12"/>
    <x v="0"/>
    <s v="P152"/>
    <x v="1"/>
    <s v="Desktop"/>
    <x v="1"/>
    <n v="0"/>
    <d v="2024-01-29T00:00:00"/>
    <n v="1"/>
  </r>
  <r>
    <s v="U146"/>
    <x v="3"/>
    <s v="2024-02-03 16:59"/>
    <x v="0"/>
    <s v="P467"/>
    <x v="2"/>
    <s v="Tablet"/>
    <x v="0"/>
    <n v="0"/>
    <d v="2024-02-03T00:00:00"/>
    <n v="2"/>
  </r>
  <r>
    <s v="U460"/>
    <x v="22"/>
    <s v="2024-01-07 01:11"/>
    <x v="2"/>
    <s v="P469"/>
    <x v="4"/>
    <s v="Desktop"/>
    <x v="0"/>
    <n v="4921"/>
    <d v="2024-01-07T00:00:00"/>
    <n v="1"/>
  </r>
  <r>
    <s v="U315"/>
    <x v="23"/>
    <s v="2024-01-17 18:34"/>
    <x v="0"/>
    <s v="P287"/>
    <x v="1"/>
    <s v="Mobile"/>
    <x v="3"/>
    <n v="0"/>
    <d v="2024-01-17T00:00:00"/>
    <n v="1"/>
  </r>
  <r>
    <s v="U805"/>
    <x v="24"/>
    <s v="2024-02-01 14:39"/>
    <x v="1"/>
    <s v="P381"/>
    <x v="3"/>
    <s v="Mobile"/>
    <x v="3"/>
    <n v="0"/>
    <d v="2024-02-01T00:00:00"/>
    <n v="2"/>
  </r>
  <r>
    <s v="U733"/>
    <x v="25"/>
    <s v="2024-01-09 23:48"/>
    <x v="1"/>
    <s v="P974"/>
    <x v="3"/>
    <s v="Mobile"/>
    <x v="4"/>
    <n v="0"/>
    <d v="2024-01-09T00:00:00"/>
    <n v="1"/>
  </r>
  <r>
    <s v="U990"/>
    <x v="26"/>
    <s v="2024-01-23 19:54"/>
    <x v="0"/>
    <s v="P918"/>
    <x v="1"/>
    <s v="Mobile"/>
    <x v="1"/>
    <n v="0"/>
    <d v="2024-01-23T00:00:00"/>
    <n v="1"/>
  </r>
  <r>
    <s v="U452"/>
    <x v="27"/>
    <s v="2024-01-24 23:13"/>
    <x v="1"/>
    <s v="P130"/>
    <x v="3"/>
    <s v="Desktop"/>
    <x v="0"/>
    <n v="0"/>
    <d v="2024-01-24T00:00:00"/>
    <n v="1"/>
  </r>
  <r>
    <s v="U925"/>
    <x v="28"/>
    <s v="2024-01-08 09:08"/>
    <x v="2"/>
    <s v="P537"/>
    <x v="0"/>
    <s v="Desktop"/>
    <x v="2"/>
    <n v="4613"/>
    <d v="2024-01-08T00:00:00"/>
    <n v="1"/>
  </r>
  <r>
    <s v="U907"/>
    <x v="29"/>
    <s v="2024-01-09 21:32"/>
    <x v="2"/>
    <s v="P841"/>
    <x v="3"/>
    <s v="Desktop"/>
    <x v="0"/>
    <n v="2082"/>
    <d v="2024-01-09T00:00:00"/>
    <n v="1"/>
  </r>
  <r>
    <s v="U159"/>
    <x v="30"/>
    <s v="2024-01-25 15:35"/>
    <x v="0"/>
    <s v="P853"/>
    <x v="4"/>
    <s v="Tablet"/>
    <x v="1"/>
    <n v="0"/>
    <d v="2024-01-25T00:00:00"/>
    <n v="1"/>
  </r>
  <r>
    <s v="U278"/>
    <x v="31"/>
    <s v="2024-01-18 04:59"/>
    <x v="0"/>
    <s v="P884"/>
    <x v="2"/>
    <s v="Tablet"/>
    <x v="1"/>
    <n v="0"/>
    <d v="2024-01-18T00:00:00"/>
    <n v="1"/>
  </r>
  <r>
    <s v="U839"/>
    <x v="32"/>
    <s v="2024-01-21 08:34"/>
    <x v="0"/>
    <s v="P870"/>
    <x v="0"/>
    <s v="Mobile"/>
    <x v="4"/>
    <n v="0"/>
    <d v="2024-01-21T00:00:00"/>
    <n v="1"/>
  </r>
  <r>
    <s v="U141"/>
    <x v="33"/>
    <s v="2024-02-03 23:10"/>
    <x v="1"/>
    <s v="P256"/>
    <x v="0"/>
    <s v="Desktop"/>
    <x v="2"/>
    <n v="0"/>
    <d v="2024-02-03T00:00:00"/>
    <n v="2"/>
  </r>
  <r>
    <s v="U300"/>
    <x v="34"/>
    <s v="2024-01-06 00:38"/>
    <x v="1"/>
    <s v="P584"/>
    <x v="1"/>
    <s v="Tablet"/>
    <x v="3"/>
    <n v="0"/>
    <d v="2024-01-06T00:00:00"/>
    <n v="1"/>
  </r>
  <r>
    <s v="U368"/>
    <x v="35"/>
    <s v="2024-01-22 01:37"/>
    <x v="1"/>
    <s v="P646"/>
    <x v="2"/>
    <s v="Desktop"/>
    <x v="1"/>
    <n v="0"/>
    <d v="2024-01-22T00:00:00"/>
    <n v="1"/>
  </r>
  <r>
    <s v="U619"/>
    <x v="36"/>
    <s v="2024-01-21 14:21"/>
    <x v="0"/>
    <s v="P563"/>
    <x v="4"/>
    <s v="Mobile"/>
    <x v="4"/>
    <n v="0"/>
    <d v="2024-01-21T00:00:00"/>
    <n v="1"/>
  </r>
  <r>
    <s v="U483"/>
    <x v="37"/>
    <s v="2024-02-03 18:52"/>
    <x v="1"/>
    <s v="P250"/>
    <x v="4"/>
    <s v="Tablet"/>
    <x v="3"/>
    <n v="0"/>
    <d v="2024-02-03T00:00:00"/>
    <n v="2"/>
  </r>
  <r>
    <s v="U950"/>
    <x v="38"/>
    <s v="2024-02-01 06:51"/>
    <x v="1"/>
    <s v="P853"/>
    <x v="3"/>
    <s v="Mobile"/>
    <x v="2"/>
    <n v="0"/>
    <d v="2024-02-01T00:00:00"/>
    <n v="2"/>
  </r>
  <r>
    <s v="U955"/>
    <x v="39"/>
    <s v="2024-01-03 01:22"/>
    <x v="0"/>
    <s v="P950"/>
    <x v="4"/>
    <s v="Mobile"/>
    <x v="1"/>
    <n v="0"/>
    <d v="2024-01-03T00:00:00"/>
    <n v="1"/>
  </r>
  <r>
    <s v="U361"/>
    <x v="40"/>
    <s v="2024-01-12 11:33"/>
    <x v="1"/>
    <s v="P397"/>
    <x v="2"/>
    <s v="Desktop"/>
    <x v="1"/>
    <n v="0"/>
    <d v="2024-01-12T00:00:00"/>
    <n v="1"/>
  </r>
  <r>
    <s v="U585"/>
    <x v="41"/>
    <s v="2024-01-26 14:07"/>
    <x v="2"/>
    <s v="P755"/>
    <x v="3"/>
    <s v="Desktop"/>
    <x v="1"/>
    <n v="4557"/>
    <d v="2024-01-26T00:00:00"/>
    <n v="1"/>
  </r>
  <r>
    <s v="U330"/>
    <x v="42"/>
    <s v="2024-01-22 06:09"/>
    <x v="0"/>
    <s v="P655"/>
    <x v="3"/>
    <s v="Desktop"/>
    <x v="4"/>
    <n v="0"/>
    <d v="2024-01-22T00:00:00"/>
    <n v="1"/>
  </r>
  <r>
    <s v="U411"/>
    <x v="43"/>
    <s v="2024-01-05 12:02"/>
    <x v="0"/>
    <s v="P819"/>
    <x v="3"/>
    <s v="Desktop"/>
    <x v="2"/>
    <n v="0"/>
    <d v="2024-01-05T00:00:00"/>
    <n v="1"/>
  </r>
  <r>
    <s v="U869"/>
    <x v="44"/>
    <s v="2024-01-22 01:04"/>
    <x v="0"/>
    <s v="P816"/>
    <x v="1"/>
    <s v="Desktop"/>
    <x v="2"/>
    <n v="0"/>
    <d v="2024-01-22T00:00:00"/>
    <n v="1"/>
  </r>
  <r>
    <s v="U432"/>
    <x v="45"/>
    <s v="2024-01-12 15:16"/>
    <x v="1"/>
    <s v="P280"/>
    <x v="3"/>
    <s v="Desktop"/>
    <x v="0"/>
    <n v="0"/>
    <d v="2024-01-12T00:00:00"/>
    <n v="1"/>
  </r>
  <r>
    <s v="U788"/>
    <x v="46"/>
    <s v="2024-01-30 08:47"/>
    <x v="1"/>
    <s v="P347"/>
    <x v="0"/>
    <s v="Mobile"/>
    <x v="1"/>
    <n v="0"/>
    <d v="2024-01-30T00:00:00"/>
    <n v="1"/>
  </r>
  <r>
    <s v="U259"/>
    <x v="47"/>
    <s v="2024-01-11 23:35"/>
    <x v="1"/>
    <s v="P779"/>
    <x v="2"/>
    <s v="Desktop"/>
    <x v="0"/>
    <n v="0"/>
    <d v="2024-01-11T00:00:00"/>
    <n v="1"/>
  </r>
  <r>
    <s v="U786"/>
    <x v="48"/>
    <s v="2024-01-05 07:17"/>
    <x v="0"/>
    <s v="P493"/>
    <x v="1"/>
    <s v="Desktop"/>
    <x v="3"/>
    <n v="0"/>
    <d v="2024-01-05T00:00:00"/>
    <n v="1"/>
  </r>
  <r>
    <s v="U685"/>
    <x v="49"/>
    <s v="2024-01-25 16:23"/>
    <x v="2"/>
    <s v="P809"/>
    <x v="2"/>
    <s v="Tablet"/>
    <x v="2"/>
    <n v="986"/>
    <d v="2024-01-25T00:00:00"/>
    <n v="1"/>
  </r>
  <r>
    <s v="U300"/>
    <x v="50"/>
    <s v="2024-01-17 04:54"/>
    <x v="2"/>
    <s v="P286"/>
    <x v="0"/>
    <s v="Tablet"/>
    <x v="0"/>
    <n v="4799"/>
    <d v="2024-01-17T00:00:00"/>
    <n v="1"/>
  </r>
  <r>
    <s v="U786"/>
    <x v="51"/>
    <s v="2024-01-03 03:03"/>
    <x v="2"/>
    <s v="P216"/>
    <x v="2"/>
    <s v="Mobile"/>
    <x v="0"/>
    <n v="3598"/>
    <d v="2024-01-03T00:00:00"/>
    <n v="1"/>
  </r>
  <r>
    <s v="U649"/>
    <x v="52"/>
    <s v="2024-01-13 14:56"/>
    <x v="0"/>
    <s v="P642"/>
    <x v="4"/>
    <s v="Mobile"/>
    <x v="0"/>
    <n v="0"/>
    <d v="2024-01-13T00:00:00"/>
    <n v="1"/>
  </r>
  <r>
    <s v="U694"/>
    <x v="53"/>
    <s v="2024-01-16 19:44"/>
    <x v="2"/>
    <s v="P527"/>
    <x v="3"/>
    <s v="Mobile"/>
    <x v="4"/>
    <n v="4312"/>
    <d v="2024-01-16T00:00:00"/>
    <n v="1"/>
  </r>
  <r>
    <s v="U193"/>
    <x v="54"/>
    <s v="2024-01-19 05:22"/>
    <x v="1"/>
    <s v="P234"/>
    <x v="4"/>
    <s v="Tablet"/>
    <x v="4"/>
    <n v="0"/>
    <d v="2024-01-19T00:00:00"/>
    <n v="1"/>
  </r>
  <r>
    <s v="U485"/>
    <x v="55"/>
    <s v="2024-01-25 12:44"/>
    <x v="0"/>
    <s v="P349"/>
    <x v="1"/>
    <s v="Tablet"/>
    <x v="0"/>
    <n v="0"/>
    <d v="2024-01-25T00:00:00"/>
    <n v="1"/>
  </r>
  <r>
    <s v="U590"/>
    <x v="56"/>
    <s v="2024-01-06 17:00"/>
    <x v="2"/>
    <s v="P190"/>
    <x v="2"/>
    <s v="Tablet"/>
    <x v="4"/>
    <n v="2830"/>
    <d v="2024-01-06T00:00:00"/>
    <n v="1"/>
  </r>
  <r>
    <s v="U214"/>
    <x v="57"/>
    <s v="2024-01-23 06:38"/>
    <x v="0"/>
    <s v="P667"/>
    <x v="4"/>
    <s v="Tablet"/>
    <x v="2"/>
    <n v="0"/>
    <d v="2024-01-23T00:00:00"/>
    <n v="1"/>
  </r>
  <r>
    <s v="U265"/>
    <x v="58"/>
    <s v="2024-01-03 00:08"/>
    <x v="1"/>
    <s v="P631"/>
    <x v="3"/>
    <s v="Desktop"/>
    <x v="2"/>
    <n v="0"/>
    <d v="2024-01-03T00:00:00"/>
    <n v="1"/>
  </r>
  <r>
    <s v="U855"/>
    <x v="59"/>
    <s v="2024-01-31 18:34"/>
    <x v="0"/>
    <s v="P879"/>
    <x v="3"/>
    <s v="Desktop"/>
    <x v="2"/>
    <n v="0"/>
    <d v="2024-01-31T00:00:00"/>
    <n v="1"/>
  </r>
  <r>
    <s v="U615"/>
    <x v="60"/>
    <s v="2024-01-30 20:29"/>
    <x v="1"/>
    <s v="P632"/>
    <x v="3"/>
    <s v="Tablet"/>
    <x v="0"/>
    <n v="0"/>
    <d v="2024-01-30T00:00:00"/>
    <n v="1"/>
  </r>
  <r>
    <s v="U496"/>
    <x v="61"/>
    <s v="2024-01-01 08:07"/>
    <x v="0"/>
    <s v="P750"/>
    <x v="1"/>
    <s v="Tablet"/>
    <x v="0"/>
    <n v="0"/>
    <d v="2024-01-01T00:00:00"/>
    <n v="1"/>
  </r>
  <r>
    <s v="U907"/>
    <x v="62"/>
    <s v="2024-01-11 14:37"/>
    <x v="1"/>
    <s v="P791"/>
    <x v="1"/>
    <s v="Desktop"/>
    <x v="4"/>
    <n v="0"/>
    <d v="2024-01-11T00:00:00"/>
    <n v="1"/>
  </r>
  <r>
    <s v="U291"/>
    <x v="63"/>
    <s v="2024-01-06 14:29"/>
    <x v="2"/>
    <s v="P747"/>
    <x v="4"/>
    <s v="Tablet"/>
    <x v="1"/>
    <n v="945"/>
    <d v="2024-01-06T00:00:00"/>
    <n v="1"/>
  </r>
  <r>
    <s v="U101"/>
    <x v="43"/>
    <s v="2024-01-30 20:58"/>
    <x v="0"/>
    <s v="P849"/>
    <x v="1"/>
    <s v="Tablet"/>
    <x v="4"/>
    <n v="0"/>
    <d v="2024-01-30T00:00:00"/>
    <n v="1"/>
  </r>
  <r>
    <s v="U581"/>
    <x v="64"/>
    <s v="2024-01-28 05:26"/>
    <x v="0"/>
    <s v="P439"/>
    <x v="1"/>
    <s v="Desktop"/>
    <x v="0"/>
    <n v="0"/>
    <d v="2024-01-28T00:00:00"/>
    <n v="1"/>
  </r>
  <r>
    <s v="U953"/>
    <x v="65"/>
    <s v="2024-01-10 06:15"/>
    <x v="0"/>
    <s v="P234"/>
    <x v="4"/>
    <s v="Tablet"/>
    <x v="3"/>
    <n v="0"/>
    <d v="2024-01-10T00:00:00"/>
    <n v="1"/>
  </r>
  <r>
    <s v="U329"/>
    <x v="66"/>
    <s v="2024-01-15 11:49"/>
    <x v="2"/>
    <s v="P628"/>
    <x v="2"/>
    <s v="Mobile"/>
    <x v="3"/>
    <n v="1982"/>
    <d v="2024-01-15T00:00:00"/>
    <n v="1"/>
  </r>
  <r>
    <s v="U200"/>
    <x v="67"/>
    <s v="2024-01-04 06:11"/>
    <x v="0"/>
    <s v="P656"/>
    <x v="3"/>
    <s v="Desktop"/>
    <x v="4"/>
    <n v="0"/>
    <d v="2024-01-04T00:00:00"/>
    <n v="1"/>
  </r>
  <r>
    <s v="U120"/>
    <x v="68"/>
    <s v="2024-01-02 08:35"/>
    <x v="0"/>
    <s v="P598"/>
    <x v="2"/>
    <s v="Mobile"/>
    <x v="0"/>
    <n v="0"/>
    <d v="2024-01-02T00:00:00"/>
    <n v="1"/>
  </r>
  <r>
    <s v="U735"/>
    <x v="69"/>
    <s v="2024-01-06 04:03"/>
    <x v="0"/>
    <s v="P633"/>
    <x v="2"/>
    <s v="Tablet"/>
    <x v="4"/>
    <n v="0"/>
    <d v="2024-01-06T00:00:00"/>
    <n v="1"/>
  </r>
  <r>
    <s v="U565"/>
    <x v="70"/>
    <s v="2024-01-20 17:03"/>
    <x v="2"/>
    <s v="P854"/>
    <x v="3"/>
    <s v="Mobile"/>
    <x v="3"/>
    <n v="3131"/>
    <d v="2024-01-20T00:00:00"/>
    <n v="1"/>
  </r>
  <r>
    <s v="U504"/>
    <x v="71"/>
    <s v="2024-01-07 00:19"/>
    <x v="0"/>
    <s v="P926"/>
    <x v="1"/>
    <s v="Mobile"/>
    <x v="4"/>
    <n v="0"/>
    <d v="2024-01-07T00:00:00"/>
    <n v="1"/>
  </r>
  <r>
    <s v="U654"/>
    <x v="72"/>
    <s v="2024-01-31 03:47"/>
    <x v="0"/>
    <s v="P187"/>
    <x v="0"/>
    <s v="Desktop"/>
    <x v="2"/>
    <n v="0"/>
    <d v="2024-01-31T00:00:00"/>
    <n v="1"/>
  </r>
  <r>
    <s v="U427"/>
    <x v="73"/>
    <s v="2024-02-03 17:31"/>
    <x v="1"/>
    <s v="P889"/>
    <x v="0"/>
    <s v="Mobile"/>
    <x v="1"/>
    <n v="0"/>
    <d v="2024-02-03T00:00:00"/>
    <n v="2"/>
  </r>
  <r>
    <s v="U348"/>
    <x v="74"/>
    <s v="2024-01-11 00:31"/>
    <x v="1"/>
    <s v="P440"/>
    <x v="0"/>
    <s v="Mobile"/>
    <x v="0"/>
    <n v="0"/>
    <d v="2024-01-11T00:00:00"/>
    <n v="1"/>
  </r>
  <r>
    <s v="U893"/>
    <x v="75"/>
    <s v="2024-01-21 22:05"/>
    <x v="1"/>
    <s v="P242"/>
    <x v="2"/>
    <s v="Desktop"/>
    <x v="2"/>
    <n v="0"/>
    <d v="2024-01-21T00:00:00"/>
    <n v="1"/>
  </r>
  <r>
    <s v="U383"/>
    <x v="76"/>
    <s v="2024-01-14 09:28"/>
    <x v="1"/>
    <s v="P252"/>
    <x v="3"/>
    <s v="Mobile"/>
    <x v="1"/>
    <n v="0"/>
    <d v="2024-01-14T00:00:00"/>
    <n v="1"/>
  </r>
  <r>
    <s v="U995"/>
    <x v="77"/>
    <s v="2024-02-02 07:24"/>
    <x v="0"/>
    <s v="P441"/>
    <x v="4"/>
    <s v="Desktop"/>
    <x v="3"/>
    <n v="0"/>
    <d v="2024-02-02T00:00:00"/>
    <n v="2"/>
  </r>
  <r>
    <s v="U353"/>
    <x v="78"/>
    <s v="2024-01-02 16:04"/>
    <x v="1"/>
    <s v="P573"/>
    <x v="3"/>
    <s v="Mobile"/>
    <x v="4"/>
    <n v="0"/>
    <d v="2024-01-02T00:00:00"/>
    <n v="1"/>
  </r>
  <r>
    <s v="U325"/>
    <x v="79"/>
    <s v="2024-01-08 17:54"/>
    <x v="2"/>
    <s v="P379"/>
    <x v="2"/>
    <s v="Desktop"/>
    <x v="4"/>
    <n v="1342"/>
    <d v="2024-01-08T00:00:00"/>
    <n v="1"/>
  </r>
  <r>
    <s v="U780"/>
    <x v="80"/>
    <s v="2024-01-04 16:51"/>
    <x v="1"/>
    <s v="P815"/>
    <x v="3"/>
    <s v="Desktop"/>
    <x v="2"/>
    <n v="0"/>
    <d v="2024-01-04T00:00:00"/>
    <n v="1"/>
  </r>
  <r>
    <s v="U116"/>
    <x v="81"/>
    <s v="2024-01-10 22:20"/>
    <x v="0"/>
    <s v="P861"/>
    <x v="3"/>
    <s v="Desktop"/>
    <x v="3"/>
    <n v="0"/>
    <d v="2024-01-10T00:00:00"/>
    <n v="1"/>
  </r>
  <r>
    <s v="U104"/>
    <x v="82"/>
    <s v="2024-01-24 02:07"/>
    <x v="2"/>
    <s v="P894"/>
    <x v="4"/>
    <s v="Tablet"/>
    <x v="4"/>
    <n v="3379"/>
    <d v="2024-01-24T00:00:00"/>
    <n v="1"/>
  </r>
  <r>
    <s v="U187"/>
    <x v="83"/>
    <s v="2024-01-15 07:03"/>
    <x v="1"/>
    <s v="P514"/>
    <x v="1"/>
    <s v="Mobile"/>
    <x v="1"/>
    <n v="0"/>
    <d v="2024-01-15T00:00:00"/>
    <n v="1"/>
  </r>
  <r>
    <s v="U332"/>
    <x v="84"/>
    <s v="2024-01-22 08:37"/>
    <x v="0"/>
    <s v="P857"/>
    <x v="4"/>
    <s v="Desktop"/>
    <x v="4"/>
    <n v="0"/>
    <d v="2024-01-22T00:00:00"/>
    <n v="1"/>
  </r>
  <r>
    <s v="U406"/>
    <x v="85"/>
    <s v="2024-01-22 11:58"/>
    <x v="2"/>
    <s v="P958"/>
    <x v="1"/>
    <s v="Desktop"/>
    <x v="1"/>
    <n v="3063"/>
    <d v="2024-01-22T00:00:00"/>
    <n v="1"/>
  </r>
  <r>
    <s v="U589"/>
    <x v="86"/>
    <s v="2024-01-28 09:43"/>
    <x v="0"/>
    <s v="P892"/>
    <x v="0"/>
    <s v="Mobile"/>
    <x v="3"/>
    <n v="0"/>
    <d v="2024-01-28T00:00:00"/>
    <n v="1"/>
  </r>
  <r>
    <s v="U152"/>
    <x v="87"/>
    <s v="2024-02-01 00:46"/>
    <x v="0"/>
    <s v="P740"/>
    <x v="0"/>
    <s v="Desktop"/>
    <x v="0"/>
    <n v="0"/>
    <d v="2024-02-01T00:00:00"/>
    <n v="2"/>
  </r>
  <r>
    <s v="U719"/>
    <x v="88"/>
    <s v="2024-01-19 13:57"/>
    <x v="2"/>
    <s v="P679"/>
    <x v="4"/>
    <s v="Mobile"/>
    <x v="4"/>
    <n v="3786"/>
    <d v="2024-01-19T00:00:00"/>
    <n v="1"/>
  </r>
  <r>
    <s v="U346"/>
    <x v="89"/>
    <s v="2024-01-20 02:22"/>
    <x v="1"/>
    <s v="P863"/>
    <x v="0"/>
    <s v="Tablet"/>
    <x v="1"/>
    <n v="0"/>
    <d v="2024-01-20T00:00:00"/>
    <n v="1"/>
  </r>
  <r>
    <s v="U962"/>
    <x v="90"/>
    <s v="2024-01-14 11:21"/>
    <x v="2"/>
    <s v="P725"/>
    <x v="3"/>
    <s v="Mobile"/>
    <x v="1"/>
    <n v="538"/>
    <d v="2024-01-14T00:00:00"/>
    <n v="1"/>
  </r>
  <r>
    <s v="U473"/>
    <x v="91"/>
    <s v="2024-01-18 15:35"/>
    <x v="0"/>
    <s v="P225"/>
    <x v="0"/>
    <s v="Desktop"/>
    <x v="0"/>
    <n v="0"/>
    <d v="2024-01-18T00:00:00"/>
    <n v="1"/>
  </r>
  <r>
    <s v="U297"/>
    <x v="92"/>
    <s v="2024-01-27 15:30"/>
    <x v="2"/>
    <s v="P841"/>
    <x v="0"/>
    <s v="Tablet"/>
    <x v="0"/>
    <n v="2739"/>
    <d v="2024-01-27T00:00:00"/>
    <n v="1"/>
  </r>
  <r>
    <s v="U961"/>
    <x v="93"/>
    <s v="2024-01-25 18:05"/>
    <x v="1"/>
    <s v="P940"/>
    <x v="4"/>
    <s v="Tablet"/>
    <x v="3"/>
    <n v="0"/>
    <d v="2024-01-25T00:00:00"/>
    <n v="1"/>
  </r>
  <r>
    <s v="U146"/>
    <x v="94"/>
    <s v="2024-02-04 14:31"/>
    <x v="0"/>
    <s v="P962"/>
    <x v="0"/>
    <s v="Desktop"/>
    <x v="1"/>
    <n v="0"/>
    <d v="2024-02-04T00:00:00"/>
    <n v="2"/>
  </r>
  <r>
    <s v="U362"/>
    <x v="95"/>
    <s v="2024-02-04 01:42"/>
    <x v="1"/>
    <s v="P136"/>
    <x v="0"/>
    <s v="Desktop"/>
    <x v="2"/>
    <n v="0"/>
    <d v="2024-02-04T00:00:00"/>
    <n v="2"/>
  </r>
  <r>
    <s v="U145"/>
    <x v="96"/>
    <s v="2024-01-09 18:04"/>
    <x v="2"/>
    <s v="P476"/>
    <x v="2"/>
    <s v="Mobile"/>
    <x v="2"/>
    <n v="4522"/>
    <d v="2024-01-09T00:00:00"/>
    <n v="1"/>
  </r>
  <r>
    <s v="U644"/>
    <x v="97"/>
    <s v="2024-01-02 16:49"/>
    <x v="2"/>
    <s v="P165"/>
    <x v="4"/>
    <s v="Desktop"/>
    <x v="0"/>
    <n v="3973"/>
    <d v="2024-01-02T00:00:00"/>
    <n v="1"/>
  </r>
  <r>
    <s v="U695"/>
    <x v="98"/>
    <s v="2024-01-24 11:01"/>
    <x v="2"/>
    <s v="P644"/>
    <x v="2"/>
    <s v="Mobile"/>
    <x v="2"/>
    <n v="1792"/>
    <d v="2024-01-24T00:00:00"/>
    <n v="1"/>
  </r>
  <r>
    <s v="U712"/>
    <x v="99"/>
    <s v="2024-02-01 19:30"/>
    <x v="0"/>
    <s v="P299"/>
    <x v="0"/>
    <s v="Mobile"/>
    <x v="1"/>
    <n v="0"/>
    <d v="2024-02-01T00:00:00"/>
    <n v="2"/>
  </r>
  <r>
    <s v="U948"/>
    <x v="100"/>
    <s v="2024-01-23 14:24"/>
    <x v="0"/>
    <s v="P198"/>
    <x v="1"/>
    <s v="Tablet"/>
    <x v="1"/>
    <n v="0"/>
    <d v="2024-01-23T00:00:00"/>
    <n v="1"/>
  </r>
  <r>
    <s v="U361"/>
    <x v="101"/>
    <s v="2024-01-28 17:46"/>
    <x v="1"/>
    <s v="P672"/>
    <x v="0"/>
    <s v="Tablet"/>
    <x v="2"/>
    <n v="0"/>
    <d v="2024-01-28T00:00:00"/>
    <n v="1"/>
  </r>
  <r>
    <s v="U649"/>
    <x v="102"/>
    <s v="2024-01-08 12:34"/>
    <x v="1"/>
    <s v="P513"/>
    <x v="3"/>
    <s v="Mobile"/>
    <x v="0"/>
    <n v="0"/>
    <d v="2024-01-08T00:00:00"/>
    <n v="1"/>
  </r>
  <r>
    <s v="U101"/>
    <x v="103"/>
    <s v="2024-01-19 15:02"/>
    <x v="2"/>
    <s v="P124"/>
    <x v="0"/>
    <s v="Mobile"/>
    <x v="3"/>
    <n v="433"/>
    <d v="2024-01-19T00:00:00"/>
    <n v="1"/>
  </r>
  <r>
    <s v="U481"/>
    <x v="104"/>
    <s v="2024-01-12 06:49"/>
    <x v="2"/>
    <s v="P396"/>
    <x v="4"/>
    <s v="Tablet"/>
    <x v="2"/>
    <n v="3894"/>
    <d v="2024-01-12T00:00:00"/>
    <n v="1"/>
  </r>
  <r>
    <s v="U709"/>
    <x v="105"/>
    <s v="2024-01-06 10:41"/>
    <x v="1"/>
    <s v="P187"/>
    <x v="0"/>
    <s v="Mobile"/>
    <x v="4"/>
    <n v="0"/>
    <d v="2024-01-06T00:00:00"/>
    <n v="1"/>
  </r>
  <r>
    <s v="U804"/>
    <x v="106"/>
    <s v="2024-02-03 02:22"/>
    <x v="0"/>
    <s v="P677"/>
    <x v="4"/>
    <s v="Desktop"/>
    <x v="4"/>
    <n v="0"/>
    <d v="2024-02-03T00:00:00"/>
    <n v="2"/>
  </r>
  <r>
    <s v="U892"/>
    <x v="107"/>
    <s v="2024-01-03 11:10"/>
    <x v="2"/>
    <s v="P369"/>
    <x v="4"/>
    <s v="Tablet"/>
    <x v="3"/>
    <n v="3168"/>
    <d v="2024-01-03T00:00:00"/>
    <n v="1"/>
  </r>
  <r>
    <s v="U663"/>
    <x v="108"/>
    <s v="2024-01-22 18:16"/>
    <x v="1"/>
    <s v="P962"/>
    <x v="1"/>
    <s v="Tablet"/>
    <x v="0"/>
    <n v="0"/>
    <d v="2024-01-22T00:00:00"/>
    <n v="1"/>
  </r>
  <r>
    <s v="U621"/>
    <x v="109"/>
    <s v="2024-01-14 11:12"/>
    <x v="0"/>
    <s v="P331"/>
    <x v="4"/>
    <s v="Desktop"/>
    <x v="0"/>
    <n v="0"/>
    <d v="2024-01-14T00:00:00"/>
    <n v="1"/>
  </r>
  <r>
    <s v="U798"/>
    <x v="110"/>
    <s v="2024-01-20 13:02"/>
    <x v="2"/>
    <s v="P869"/>
    <x v="0"/>
    <s v="Tablet"/>
    <x v="4"/>
    <n v="3710"/>
    <d v="2024-01-20T00:00:00"/>
    <n v="1"/>
  </r>
  <r>
    <s v="U578"/>
    <x v="111"/>
    <s v="2024-01-08 02:30"/>
    <x v="1"/>
    <s v="P946"/>
    <x v="4"/>
    <s v="Tablet"/>
    <x v="4"/>
    <n v="0"/>
    <d v="2024-01-08T00:00:00"/>
    <n v="1"/>
  </r>
  <r>
    <s v="U152"/>
    <x v="112"/>
    <s v="2024-01-15 13:43"/>
    <x v="0"/>
    <s v="P348"/>
    <x v="4"/>
    <s v="Mobile"/>
    <x v="2"/>
    <n v="0"/>
    <d v="2024-01-15T00:00:00"/>
    <n v="1"/>
  </r>
  <r>
    <s v="U217"/>
    <x v="113"/>
    <s v="2024-01-31 01:41"/>
    <x v="0"/>
    <s v="P412"/>
    <x v="2"/>
    <s v="Tablet"/>
    <x v="4"/>
    <n v="0"/>
    <d v="2024-01-31T00:00:00"/>
    <n v="1"/>
  </r>
  <r>
    <s v="U255"/>
    <x v="114"/>
    <s v="2024-01-23 04:01"/>
    <x v="1"/>
    <s v="P827"/>
    <x v="1"/>
    <s v="Desktop"/>
    <x v="3"/>
    <n v="0"/>
    <d v="2024-01-23T00:00:00"/>
    <n v="1"/>
  </r>
  <r>
    <s v="U472"/>
    <x v="115"/>
    <s v="2024-01-04 05:05"/>
    <x v="1"/>
    <s v="P886"/>
    <x v="0"/>
    <s v="Tablet"/>
    <x v="0"/>
    <n v="0"/>
    <d v="2024-01-04T00:00:00"/>
    <n v="1"/>
  </r>
  <r>
    <s v="U511"/>
    <x v="116"/>
    <s v="2024-01-12 03:53"/>
    <x v="1"/>
    <s v="P423"/>
    <x v="2"/>
    <s v="Mobile"/>
    <x v="1"/>
    <n v="0"/>
    <d v="2024-01-12T00:00:00"/>
    <n v="1"/>
  </r>
  <r>
    <s v="U868"/>
    <x v="117"/>
    <s v="2024-01-27 07:07"/>
    <x v="2"/>
    <s v="P845"/>
    <x v="3"/>
    <s v="Desktop"/>
    <x v="0"/>
    <n v="2891"/>
    <d v="2024-01-27T00:00:00"/>
    <n v="1"/>
  </r>
  <r>
    <s v="U948"/>
    <x v="118"/>
    <s v="2024-01-14 17:25"/>
    <x v="0"/>
    <s v="P162"/>
    <x v="1"/>
    <s v="Desktop"/>
    <x v="2"/>
    <n v="0"/>
    <d v="2024-01-14T00:00:00"/>
    <n v="1"/>
  </r>
  <r>
    <s v="U823"/>
    <x v="119"/>
    <s v="2024-01-04 12:58"/>
    <x v="1"/>
    <s v="P816"/>
    <x v="1"/>
    <s v="Desktop"/>
    <x v="0"/>
    <n v="0"/>
    <d v="2024-01-04T00:00:00"/>
    <n v="1"/>
  </r>
  <r>
    <s v="U464"/>
    <x v="120"/>
    <s v="2024-01-11 12:12"/>
    <x v="2"/>
    <s v="P894"/>
    <x v="2"/>
    <s v="Mobile"/>
    <x v="4"/>
    <n v="2741"/>
    <d v="2024-01-11T00:00:00"/>
    <n v="1"/>
  </r>
  <r>
    <s v="U569"/>
    <x v="121"/>
    <s v="2024-01-08 18:56"/>
    <x v="2"/>
    <s v="P509"/>
    <x v="0"/>
    <s v="Mobile"/>
    <x v="3"/>
    <n v="3112"/>
    <d v="2024-01-08T00:00:00"/>
    <n v="1"/>
  </r>
  <r>
    <s v="U177"/>
    <x v="122"/>
    <s v="2024-01-03 16:56"/>
    <x v="2"/>
    <s v="P628"/>
    <x v="4"/>
    <s v="Mobile"/>
    <x v="3"/>
    <n v="2865"/>
    <d v="2024-01-03T00:00:00"/>
    <n v="1"/>
  </r>
  <r>
    <s v="U934"/>
    <x v="123"/>
    <s v="2024-01-03 19:10"/>
    <x v="2"/>
    <s v="P983"/>
    <x v="2"/>
    <s v="Tablet"/>
    <x v="1"/>
    <n v="1041"/>
    <d v="2024-01-03T00:00:00"/>
    <n v="1"/>
  </r>
  <r>
    <s v="U977"/>
    <x v="124"/>
    <s v="2024-01-16 10:57"/>
    <x v="2"/>
    <s v="P490"/>
    <x v="0"/>
    <s v="Mobile"/>
    <x v="2"/>
    <n v="2148"/>
    <d v="2024-01-16T00:00:00"/>
    <n v="1"/>
  </r>
  <r>
    <s v="U294"/>
    <x v="125"/>
    <s v="2024-01-11 16:04"/>
    <x v="1"/>
    <s v="P306"/>
    <x v="4"/>
    <s v="Desktop"/>
    <x v="4"/>
    <n v="0"/>
    <d v="2024-01-11T00:00:00"/>
    <n v="1"/>
  </r>
  <r>
    <s v="U868"/>
    <x v="126"/>
    <s v="2024-01-11 02:08"/>
    <x v="0"/>
    <s v="P839"/>
    <x v="3"/>
    <s v="Tablet"/>
    <x v="4"/>
    <n v="0"/>
    <d v="2024-01-11T00:00:00"/>
    <n v="1"/>
  </r>
  <r>
    <s v="U992"/>
    <x v="127"/>
    <s v="2024-01-02 17:46"/>
    <x v="1"/>
    <s v="P422"/>
    <x v="0"/>
    <s v="Tablet"/>
    <x v="3"/>
    <n v="0"/>
    <d v="2024-01-02T00:00:00"/>
    <n v="1"/>
  </r>
  <r>
    <s v="U133"/>
    <x v="128"/>
    <s v="2024-01-05 07:47"/>
    <x v="2"/>
    <s v="P964"/>
    <x v="0"/>
    <s v="Mobile"/>
    <x v="3"/>
    <n v="2814"/>
    <d v="2024-01-05T00:00:00"/>
    <n v="1"/>
  </r>
  <r>
    <s v="U847"/>
    <x v="129"/>
    <s v="2024-01-02 08:00"/>
    <x v="0"/>
    <s v="P726"/>
    <x v="3"/>
    <s v="Mobile"/>
    <x v="0"/>
    <n v="0"/>
    <d v="2024-01-02T00:00:00"/>
    <n v="1"/>
  </r>
  <r>
    <s v="U171"/>
    <x v="130"/>
    <s v="2024-01-10 22:09"/>
    <x v="0"/>
    <s v="P713"/>
    <x v="4"/>
    <s v="Tablet"/>
    <x v="0"/>
    <n v="0"/>
    <d v="2024-01-10T00:00:00"/>
    <n v="1"/>
  </r>
  <r>
    <s v="U788"/>
    <x v="131"/>
    <s v="2024-01-15 17:19"/>
    <x v="1"/>
    <s v="P431"/>
    <x v="1"/>
    <s v="Tablet"/>
    <x v="4"/>
    <n v="0"/>
    <d v="2024-01-15T00:00:00"/>
    <n v="1"/>
  </r>
  <r>
    <s v="U595"/>
    <x v="132"/>
    <s v="2024-01-11 16:04"/>
    <x v="2"/>
    <s v="P981"/>
    <x v="4"/>
    <s v="Tablet"/>
    <x v="3"/>
    <n v="4554"/>
    <d v="2024-01-11T00:00:00"/>
    <n v="1"/>
  </r>
  <r>
    <s v="U964"/>
    <x v="133"/>
    <s v="2024-01-13 09:35"/>
    <x v="1"/>
    <s v="P212"/>
    <x v="4"/>
    <s v="Desktop"/>
    <x v="0"/>
    <n v="0"/>
    <d v="2024-01-13T00:00:00"/>
    <n v="1"/>
  </r>
  <r>
    <s v="U996"/>
    <x v="134"/>
    <s v="2024-02-03 13:40"/>
    <x v="1"/>
    <s v="P204"/>
    <x v="2"/>
    <s v="Tablet"/>
    <x v="4"/>
    <n v="0"/>
    <d v="2024-02-03T00:00:00"/>
    <n v="2"/>
  </r>
  <r>
    <s v="U457"/>
    <x v="135"/>
    <s v="2024-01-21 08:38"/>
    <x v="2"/>
    <s v="P258"/>
    <x v="3"/>
    <s v="Mobile"/>
    <x v="0"/>
    <n v="4594"/>
    <d v="2024-01-21T00:00:00"/>
    <n v="1"/>
  </r>
  <r>
    <s v="U882"/>
    <x v="136"/>
    <s v="2024-01-24 10:28"/>
    <x v="0"/>
    <s v="P334"/>
    <x v="4"/>
    <s v="Desktop"/>
    <x v="3"/>
    <n v="0"/>
    <d v="2024-01-24T00:00:00"/>
    <n v="1"/>
  </r>
  <r>
    <s v="U800"/>
    <x v="137"/>
    <s v="2024-01-25 16:52"/>
    <x v="0"/>
    <s v="P628"/>
    <x v="2"/>
    <s v="Mobile"/>
    <x v="4"/>
    <n v="0"/>
    <d v="2024-01-25T00:00:00"/>
    <n v="1"/>
  </r>
  <r>
    <s v="U982"/>
    <x v="138"/>
    <s v="2024-01-08 18:45"/>
    <x v="0"/>
    <s v="P645"/>
    <x v="4"/>
    <s v="Desktop"/>
    <x v="3"/>
    <n v="0"/>
    <d v="2024-01-08T00:00:00"/>
    <n v="1"/>
  </r>
  <r>
    <s v="U875"/>
    <x v="139"/>
    <s v="2024-01-22 05:35"/>
    <x v="1"/>
    <s v="P680"/>
    <x v="3"/>
    <s v="Mobile"/>
    <x v="1"/>
    <n v="0"/>
    <d v="2024-01-22T00:00:00"/>
    <n v="1"/>
  </r>
  <r>
    <s v="U798"/>
    <x v="140"/>
    <s v="2024-01-05 06:46"/>
    <x v="1"/>
    <s v="P256"/>
    <x v="1"/>
    <s v="Mobile"/>
    <x v="1"/>
    <n v="0"/>
    <d v="2024-01-05T00:00:00"/>
    <n v="1"/>
  </r>
  <r>
    <s v="U128"/>
    <x v="141"/>
    <s v="2024-01-17 21:59"/>
    <x v="2"/>
    <s v="P442"/>
    <x v="2"/>
    <s v="Desktop"/>
    <x v="0"/>
    <n v="3180"/>
    <d v="2024-01-17T00:00:00"/>
    <n v="1"/>
  </r>
  <r>
    <s v="U929"/>
    <x v="142"/>
    <s v="2024-02-01 18:31"/>
    <x v="1"/>
    <s v="P479"/>
    <x v="2"/>
    <s v="Tablet"/>
    <x v="4"/>
    <n v="0"/>
    <d v="2024-02-01T00:00:00"/>
    <n v="2"/>
  </r>
  <r>
    <s v="U895"/>
    <x v="102"/>
    <s v="2024-01-18 11:45"/>
    <x v="2"/>
    <s v="P341"/>
    <x v="2"/>
    <s v="Mobile"/>
    <x v="2"/>
    <n v="4685"/>
    <d v="2024-01-18T00:00:00"/>
    <n v="1"/>
  </r>
  <r>
    <s v="U576"/>
    <x v="143"/>
    <s v="2024-01-09 17:08"/>
    <x v="1"/>
    <s v="P307"/>
    <x v="1"/>
    <s v="Desktop"/>
    <x v="4"/>
    <n v="0"/>
    <d v="2024-01-09T00:00:00"/>
    <n v="1"/>
  </r>
  <r>
    <s v="U211"/>
    <x v="144"/>
    <s v="2024-01-19 23:03"/>
    <x v="1"/>
    <s v="P898"/>
    <x v="1"/>
    <s v="Desktop"/>
    <x v="1"/>
    <n v="0"/>
    <d v="2024-01-19T00:00:00"/>
    <n v="1"/>
  </r>
  <r>
    <s v="U713"/>
    <x v="145"/>
    <s v="2024-01-08 08:29"/>
    <x v="1"/>
    <s v="P643"/>
    <x v="0"/>
    <s v="Tablet"/>
    <x v="3"/>
    <n v="0"/>
    <d v="2024-01-08T00:00:00"/>
    <n v="1"/>
  </r>
  <r>
    <s v="U717"/>
    <x v="146"/>
    <s v="2024-02-03 05:29"/>
    <x v="0"/>
    <s v="P932"/>
    <x v="2"/>
    <s v="Mobile"/>
    <x v="1"/>
    <n v="0"/>
    <d v="2024-02-03T00:00:00"/>
    <n v="2"/>
  </r>
  <r>
    <s v="U150"/>
    <x v="147"/>
    <s v="2024-01-07 12:02"/>
    <x v="0"/>
    <s v="P709"/>
    <x v="2"/>
    <s v="Desktop"/>
    <x v="4"/>
    <n v="0"/>
    <d v="2024-01-07T00:00:00"/>
    <n v="1"/>
  </r>
  <r>
    <s v="U970"/>
    <x v="148"/>
    <s v="2024-01-14 05:41"/>
    <x v="1"/>
    <s v="P292"/>
    <x v="4"/>
    <s v="Mobile"/>
    <x v="3"/>
    <n v="0"/>
    <d v="2024-01-14T00:00:00"/>
    <n v="1"/>
  </r>
  <r>
    <s v="U974"/>
    <x v="149"/>
    <s v="2024-01-22 07:17"/>
    <x v="2"/>
    <s v="P792"/>
    <x v="0"/>
    <s v="Mobile"/>
    <x v="4"/>
    <n v="4827"/>
    <d v="2024-01-22T00:00:00"/>
    <n v="1"/>
  </r>
  <r>
    <s v="U464"/>
    <x v="150"/>
    <s v="2024-01-23 20:43"/>
    <x v="0"/>
    <s v="P689"/>
    <x v="4"/>
    <s v="Mobile"/>
    <x v="2"/>
    <n v="0"/>
    <d v="2024-01-23T00:00:00"/>
    <n v="1"/>
  </r>
  <r>
    <s v="U595"/>
    <x v="151"/>
    <s v="2024-01-10 09:49"/>
    <x v="1"/>
    <s v="P855"/>
    <x v="0"/>
    <s v="Tablet"/>
    <x v="1"/>
    <n v="0"/>
    <d v="2024-01-10T00:00:00"/>
    <n v="1"/>
  </r>
  <r>
    <s v="U123"/>
    <x v="152"/>
    <s v="2024-01-19 22:28"/>
    <x v="2"/>
    <s v="P430"/>
    <x v="3"/>
    <s v="Mobile"/>
    <x v="2"/>
    <n v="1534"/>
    <d v="2024-01-19T00:00:00"/>
    <n v="1"/>
  </r>
  <r>
    <s v="U516"/>
    <x v="153"/>
    <s v="2024-01-02 08:22"/>
    <x v="0"/>
    <s v="P858"/>
    <x v="2"/>
    <s v="Tablet"/>
    <x v="2"/>
    <n v="0"/>
    <d v="2024-01-02T00:00:00"/>
    <n v="1"/>
  </r>
  <r>
    <s v="U550"/>
    <x v="154"/>
    <s v="2024-01-11 06:24"/>
    <x v="1"/>
    <s v="P946"/>
    <x v="0"/>
    <s v="Tablet"/>
    <x v="4"/>
    <n v="0"/>
    <d v="2024-01-11T00:00:00"/>
    <n v="1"/>
  </r>
  <r>
    <s v="U485"/>
    <x v="155"/>
    <s v="2024-01-06 18:30"/>
    <x v="0"/>
    <s v="P587"/>
    <x v="3"/>
    <s v="Desktop"/>
    <x v="3"/>
    <n v="0"/>
    <d v="2024-01-06T00:00:00"/>
    <n v="1"/>
  </r>
  <r>
    <s v="U737"/>
    <x v="156"/>
    <s v="2024-01-21 23:42"/>
    <x v="0"/>
    <s v="P116"/>
    <x v="0"/>
    <s v="Mobile"/>
    <x v="3"/>
    <n v="0"/>
    <d v="2024-01-21T00:00:00"/>
    <n v="1"/>
  </r>
  <r>
    <s v="U798"/>
    <x v="157"/>
    <s v="2024-01-12 23:08"/>
    <x v="1"/>
    <s v="P556"/>
    <x v="0"/>
    <s v="Tablet"/>
    <x v="3"/>
    <n v="0"/>
    <d v="2024-01-12T00:00:00"/>
    <n v="1"/>
  </r>
  <r>
    <s v="U267"/>
    <x v="158"/>
    <s v="2024-01-18 12:52"/>
    <x v="1"/>
    <s v="P369"/>
    <x v="0"/>
    <s v="Desktop"/>
    <x v="3"/>
    <n v="0"/>
    <d v="2024-01-18T00:00:00"/>
    <n v="1"/>
  </r>
  <r>
    <s v="U472"/>
    <x v="159"/>
    <s v="2024-01-12 16:58"/>
    <x v="1"/>
    <s v="P855"/>
    <x v="1"/>
    <s v="Mobile"/>
    <x v="3"/>
    <n v="0"/>
    <d v="2024-01-12T00:00:00"/>
    <n v="1"/>
  </r>
  <r>
    <s v="U405"/>
    <x v="160"/>
    <s v="2024-01-24 12:31"/>
    <x v="1"/>
    <s v="P870"/>
    <x v="1"/>
    <s v="Desktop"/>
    <x v="1"/>
    <n v="0"/>
    <d v="2024-01-24T00:00:00"/>
    <n v="1"/>
  </r>
  <r>
    <s v="U506"/>
    <x v="161"/>
    <s v="2024-01-04 01:48"/>
    <x v="0"/>
    <s v="P497"/>
    <x v="1"/>
    <s v="Desktop"/>
    <x v="0"/>
    <n v="0"/>
    <d v="2024-01-04T00:00:00"/>
    <n v="1"/>
  </r>
  <r>
    <s v="U200"/>
    <x v="162"/>
    <s v="2024-02-01 13:56"/>
    <x v="2"/>
    <s v="P938"/>
    <x v="2"/>
    <s v="Mobile"/>
    <x v="4"/>
    <n v="381"/>
    <d v="2024-02-01T00:00:00"/>
    <n v="2"/>
  </r>
  <r>
    <s v="U138"/>
    <x v="163"/>
    <s v="2024-01-02 16:58"/>
    <x v="2"/>
    <s v="P442"/>
    <x v="4"/>
    <s v="Desktop"/>
    <x v="1"/>
    <n v="2885"/>
    <d v="2024-01-02T00:00:00"/>
    <n v="1"/>
  </r>
  <r>
    <s v="U843"/>
    <x v="164"/>
    <s v="2024-01-02 03:21"/>
    <x v="0"/>
    <s v="P181"/>
    <x v="1"/>
    <s v="Desktop"/>
    <x v="0"/>
    <n v="0"/>
    <d v="2024-01-02T00:00:00"/>
    <n v="1"/>
  </r>
  <r>
    <s v="U713"/>
    <x v="165"/>
    <s v="2024-01-03 11:31"/>
    <x v="1"/>
    <s v="P245"/>
    <x v="1"/>
    <s v="Desktop"/>
    <x v="2"/>
    <n v="0"/>
    <d v="2024-01-03T00:00:00"/>
    <n v="1"/>
  </r>
  <r>
    <s v="U140"/>
    <x v="166"/>
    <s v="2024-01-24 13:49"/>
    <x v="2"/>
    <s v="P606"/>
    <x v="2"/>
    <s v="Mobile"/>
    <x v="3"/>
    <n v="2027"/>
    <d v="2024-01-24T00:00:00"/>
    <n v="1"/>
  </r>
  <r>
    <s v="U459"/>
    <x v="167"/>
    <s v="2024-01-13 09:30"/>
    <x v="0"/>
    <s v="P805"/>
    <x v="4"/>
    <s v="Mobile"/>
    <x v="0"/>
    <n v="0"/>
    <d v="2024-01-13T00:00:00"/>
    <n v="1"/>
  </r>
  <r>
    <s v="U240"/>
    <x v="168"/>
    <s v="2024-01-26 20:45"/>
    <x v="0"/>
    <s v="P173"/>
    <x v="2"/>
    <s v="Desktop"/>
    <x v="1"/>
    <n v="0"/>
    <d v="2024-01-26T00:00:00"/>
    <n v="1"/>
  </r>
  <r>
    <s v="U716"/>
    <x v="169"/>
    <s v="2024-02-03 18:34"/>
    <x v="1"/>
    <s v="P721"/>
    <x v="2"/>
    <s v="Mobile"/>
    <x v="2"/>
    <n v="0"/>
    <d v="2024-02-03T00:00:00"/>
    <n v="2"/>
  </r>
  <r>
    <s v="U179"/>
    <x v="66"/>
    <s v="2024-01-13 19:11"/>
    <x v="0"/>
    <s v="P536"/>
    <x v="1"/>
    <s v="Tablet"/>
    <x v="0"/>
    <n v="0"/>
    <d v="2024-01-13T00:00:00"/>
    <n v="1"/>
  </r>
  <r>
    <s v="U127"/>
    <x v="170"/>
    <s v="2024-01-29 01:09"/>
    <x v="1"/>
    <s v="P632"/>
    <x v="3"/>
    <s v="Mobile"/>
    <x v="0"/>
    <n v="0"/>
    <d v="2024-01-29T00:00:00"/>
    <n v="1"/>
  </r>
  <r>
    <s v="U181"/>
    <x v="104"/>
    <s v="2024-02-01 22:44"/>
    <x v="0"/>
    <s v="P234"/>
    <x v="1"/>
    <s v="Tablet"/>
    <x v="3"/>
    <n v="0"/>
    <d v="2024-02-01T00:00:00"/>
    <n v="2"/>
  </r>
  <r>
    <s v="U374"/>
    <x v="171"/>
    <s v="2024-01-24 20:08"/>
    <x v="2"/>
    <s v="P784"/>
    <x v="0"/>
    <s v="Mobile"/>
    <x v="0"/>
    <n v="1364"/>
    <d v="2024-01-24T00:00:00"/>
    <n v="1"/>
  </r>
  <r>
    <s v="U597"/>
    <x v="172"/>
    <s v="2024-01-03 02:17"/>
    <x v="0"/>
    <s v="P680"/>
    <x v="1"/>
    <s v="Mobile"/>
    <x v="0"/>
    <n v="0"/>
    <d v="2024-01-03T00:00:00"/>
    <n v="1"/>
  </r>
  <r>
    <s v="U551"/>
    <x v="173"/>
    <s v="2024-01-22 01:33"/>
    <x v="2"/>
    <s v="P446"/>
    <x v="4"/>
    <s v="Desktop"/>
    <x v="0"/>
    <n v="2219"/>
    <d v="2024-01-22T00:00:00"/>
    <n v="1"/>
  </r>
  <r>
    <s v="U349"/>
    <x v="174"/>
    <s v="2024-01-23 09:14"/>
    <x v="0"/>
    <s v="P119"/>
    <x v="1"/>
    <s v="Desktop"/>
    <x v="2"/>
    <n v="0"/>
    <d v="2024-01-23T00:00:00"/>
    <n v="1"/>
  </r>
  <r>
    <s v="U164"/>
    <x v="175"/>
    <s v="2024-01-28 14:17"/>
    <x v="0"/>
    <s v="P504"/>
    <x v="1"/>
    <s v="Tablet"/>
    <x v="1"/>
    <n v="0"/>
    <d v="2024-01-28T00:00:00"/>
    <n v="1"/>
  </r>
  <r>
    <s v="U744"/>
    <x v="176"/>
    <s v="2024-01-23 01:48"/>
    <x v="1"/>
    <s v="P449"/>
    <x v="2"/>
    <s v="Mobile"/>
    <x v="3"/>
    <n v="0"/>
    <d v="2024-01-23T00:00:00"/>
    <n v="1"/>
  </r>
  <r>
    <s v="U117"/>
    <x v="177"/>
    <s v="2024-02-03 00:35"/>
    <x v="2"/>
    <s v="P772"/>
    <x v="0"/>
    <s v="Desktop"/>
    <x v="4"/>
    <n v="3510"/>
    <d v="2024-02-03T00:00:00"/>
    <n v="2"/>
  </r>
  <r>
    <s v="U589"/>
    <x v="178"/>
    <s v="2024-01-29 23:51"/>
    <x v="1"/>
    <s v="P537"/>
    <x v="0"/>
    <s v="Desktop"/>
    <x v="2"/>
    <n v="0"/>
    <d v="2024-01-29T00:00:00"/>
    <n v="1"/>
  </r>
  <r>
    <s v="U245"/>
    <x v="179"/>
    <s v="2024-01-31 14:20"/>
    <x v="1"/>
    <s v="P828"/>
    <x v="1"/>
    <s v="Desktop"/>
    <x v="4"/>
    <n v="0"/>
    <d v="2024-01-31T00:00:00"/>
    <n v="1"/>
  </r>
  <r>
    <s v="U642"/>
    <x v="180"/>
    <s v="2024-01-01 18:52"/>
    <x v="2"/>
    <s v="P179"/>
    <x v="0"/>
    <s v="Tablet"/>
    <x v="3"/>
    <n v="1587"/>
    <d v="2024-01-01T00:00:00"/>
    <n v="1"/>
  </r>
  <r>
    <s v="U814"/>
    <x v="181"/>
    <s v="2024-01-17 12:41"/>
    <x v="2"/>
    <s v="P462"/>
    <x v="4"/>
    <s v="Tablet"/>
    <x v="0"/>
    <n v="4456"/>
    <d v="2024-01-17T00:00:00"/>
    <n v="1"/>
  </r>
  <r>
    <s v="U689"/>
    <x v="182"/>
    <s v="2024-01-21 13:11"/>
    <x v="0"/>
    <s v="P508"/>
    <x v="3"/>
    <s v="Tablet"/>
    <x v="2"/>
    <n v="0"/>
    <d v="2024-01-21T00:00:00"/>
    <n v="1"/>
  </r>
  <r>
    <s v="U330"/>
    <x v="183"/>
    <s v="2024-01-13 20:49"/>
    <x v="1"/>
    <s v="P864"/>
    <x v="4"/>
    <s v="Mobile"/>
    <x v="1"/>
    <n v="0"/>
    <d v="2024-01-13T00:00:00"/>
    <n v="1"/>
  </r>
  <r>
    <s v="U418"/>
    <x v="184"/>
    <s v="2024-01-09 23:06"/>
    <x v="0"/>
    <s v="P728"/>
    <x v="4"/>
    <s v="Mobile"/>
    <x v="2"/>
    <n v="0"/>
    <d v="2024-01-09T00:00:00"/>
    <n v="1"/>
  </r>
  <r>
    <s v="U308"/>
    <x v="185"/>
    <s v="2024-01-11 14:07"/>
    <x v="0"/>
    <s v="P939"/>
    <x v="3"/>
    <s v="Mobile"/>
    <x v="2"/>
    <n v="0"/>
    <d v="2024-01-11T00:00:00"/>
    <n v="1"/>
  </r>
  <r>
    <s v="U666"/>
    <x v="186"/>
    <s v="2024-01-04 21:59"/>
    <x v="1"/>
    <s v="P887"/>
    <x v="0"/>
    <s v="Mobile"/>
    <x v="2"/>
    <n v="0"/>
    <d v="2024-01-04T00:00:00"/>
    <n v="1"/>
  </r>
  <r>
    <s v="U821"/>
    <x v="187"/>
    <s v="2024-01-10 17:14"/>
    <x v="1"/>
    <s v="P351"/>
    <x v="2"/>
    <s v="Desktop"/>
    <x v="1"/>
    <n v="0"/>
    <d v="2024-01-10T00:00:00"/>
    <n v="1"/>
  </r>
  <r>
    <s v="U412"/>
    <x v="188"/>
    <s v="2024-01-25 08:21"/>
    <x v="0"/>
    <s v="P547"/>
    <x v="3"/>
    <s v="Desktop"/>
    <x v="1"/>
    <n v="0"/>
    <d v="2024-01-25T00:00:00"/>
    <n v="1"/>
  </r>
  <r>
    <s v="U339"/>
    <x v="189"/>
    <s v="2024-02-03 06:48"/>
    <x v="0"/>
    <s v="P822"/>
    <x v="3"/>
    <s v="Desktop"/>
    <x v="3"/>
    <n v="0"/>
    <d v="2024-02-03T00:00:00"/>
    <n v="2"/>
  </r>
  <r>
    <s v="U465"/>
    <x v="190"/>
    <s v="2024-01-13 12:29"/>
    <x v="1"/>
    <s v="P990"/>
    <x v="2"/>
    <s v="Mobile"/>
    <x v="1"/>
    <n v="0"/>
    <d v="2024-01-13T00:00:00"/>
    <n v="1"/>
  </r>
  <r>
    <s v="U361"/>
    <x v="191"/>
    <s v="2024-01-28 04:20"/>
    <x v="0"/>
    <s v="P987"/>
    <x v="2"/>
    <s v="Desktop"/>
    <x v="4"/>
    <n v="0"/>
    <d v="2024-01-28T00:00:00"/>
    <n v="1"/>
  </r>
  <r>
    <s v="U432"/>
    <x v="192"/>
    <s v="2024-01-08 05:19"/>
    <x v="1"/>
    <s v="P133"/>
    <x v="1"/>
    <s v="Mobile"/>
    <x v="1"/>
    <n v="0"/>
    <d v="2024-01-08T00:00:00"/>
    <n v="1"/>
  </r>
  <r>
    <s v="U605"/>
    <x v="193"/>
    <s v="2024-01-27 06:26"/>
    <x v="2"/>
    <s v="P704"/>
    <x v="2"/>
    <s v="Desktop"/>
    <x v="3"/>
    <n v="2267"/>
    <d v="2024-01-27T00:00:00"/>
    <n v="1"/>
  </r>
  <r>
    <s v="U120"/>
    <x v="194"/>
    <s v="2024-01-21 23:54"/>
    <x v="0"/>
    <s v="P520"/>
    <x v="0"/>
    <s v="Mobile"/>
    <x v="1"/>
    <n v="0"/>
    <d v="2024-01-21T00:00:00"/>
    <n v="1"/>
  </r>
  <r>
    <s v="U214"/>
    <x v="195"/>
    <s v="2024-01-29 13:02"/>
    <x v="2"/>
    <s v="P726"/>
    <x v="3"/>
    <s v="Desktop"/>
    <x v="2"/>
    <n v="2542"/>
    <d v="2024-01-29T00:00:00"/>
    <n v="1"/>
  </r>
  <r>
    <s v="U537"/>
    <x v="196"/>
    <s v="2024-01-25 08:46"/>
    <x v="2"/>
    <s v="P391"/>
    <x v="4"/>
    <s v="Mobile"/>
    <x v="4"/>
    <n v="2677"/>
    <d v="2024-01-25T00:00:00"/>
    <n v="1"/>
  </r>
  <r>
    <s v="U642"/>
    <x v="197"/>
    <s v="2024-01-14 18:21"/>
    <x v="1"/>
    <s v="P921"/>
    <x v="0"/>
    <s v="Desktop"/>
    <x v="3"/>
    <n v="0"/>
    <d v="2024-01-14T00:00:00"/>
    <n v="1"/>
  </r>
  <r>
    <s v="U304"/>
    <x v="198"/>
    <s v="2024-01-25 06:53"/>
    <x v="2"/>
    <s v="P105"/>
    <x v="1"/>
    <s v="Mobile"/>
    <x v="0"/>
    <n v="2701"/>
    <d v="2024-01-25T00:00:00"/>
    <n v="1"/>
  </r>
  <r>
    <s v="U144"/>
    <x v="199"/>
    <s v="2024-01-22 02:14"/>
    <x v="2"/>
    <s v="P680"/>
    <x v="4"/>
    <s v="Desktop"/>
    <x v="4"/>
    <n v="4310"/>
    <d v="2024-01-22T00:00:00"/>
    <n v="1"/>
  </r>
  <r>
    <s v="U494"/>
    <x v="200"/>
    <s v="2024-01-09 11:07"/>
    <x v="0"/>
    <s v="P682"/>
    <x v="2"/>
    <s v="Mobile"/>
    <x v="4"/>
    <n v="0"/>
    <d v="2024-01-09T00:00:00"/>
    <n v="1"/>
  </r>
  <r>
    <s v="U650"/>
    <x v="201"/>
    <s v="2024-01-21 07:51"/>
    <x v="0"/>
    <s v="P284"/>
    <x v="4"/>
    <s v="Desktop"/>
    <x v="2"/>
    <n v="0"/>
    <d v="2024-01-21T00:00:00"/>
    <n v="1"/>
  </r>
  <r>
    <s v="U490"/>
    <x v="202"/>
    <s v="2024-01-24 02:47"/>
    <x v="0"/>
    <s v="P755"/>
    <x v="1"/>
    <s v="Tablet"/>
    <x v="4"/>
    <n v="0"/>
    <d v="2024-01-24T00:00:00"/>
    <n v="1"/>
  </r>
  <r>
    <s v="U172"/>
    <x v="203"/>
    <s v="2024-01-01 18:49"/>
    <x v="2"/>
    <s v="P100"/>
    <x v="3"/>
    <s v="Desktop"/>
    <x v="0"/>
    <n v="4698"/>
    <d v="2024-01-01T00:00:00"/>
    <n v="1"/>
  </r>
  <r>
    <s v="U414"/>
    <x v="204"/>
    <s v="2024-01-14 19:56"/>
    <x v="0"/>
    <s v="P374"/>
    <x v="3"/>
    <s v="Mobile"/>
    <x v="4"/>
    <n v="0"/>
    <d v="2024-01-14T00:00:00"/>
    <n v="1"/>
  </r>
  <r>
    <s v="U835"/>
    <x v="205"/>
    <s v="2024-01-16 21:47"/>
    <x v="1"/>
    <s v="P141"/>
    <x v="2"/>
    <s v="Tablet"/>
    <x v="2"/>
    <n v="0"/>
    <d v="2024-01-16T00:00:00"/>
    <n v="1"/>
  </r>
  <r>
    <s v="U334"/>
    <x v="206"/>
    <s v="2024-01-30 13:44"/>
    <x v="2"/>
    <s v="P829"/>
    <x v="0"/>
    <s v="Desktop"/>
    <x v="2"/>
    <n v="2087"/>
    <d v="2024-01-30T00:00:00"/>
    <n v="1"/>
  </r>
  <r>
    <s v="U211"/>
    <x v="207"/>
    <s v="2024-01-28 05:02"/>
    <x v="2"/>
    <s v="P520"/>
    <x v="1"/>
    <s v="Mobile"/>
    <x v="4"/>
    <n v="1618"/>
    <d v="2024-01-28T00:00:00"/>
    <n v="1"/>
  </r>
  <r>
    <s v="U924"/>
    <x v="190"/>
    <s v="2024-02-03 09:30"/>
    <x v="1"/>
    <s v="P801"/>
    <x v="4"/>
    <s v="Tablet"/>
    <x v="4"/>
    <n v="0"/>
    <d v="2024-02-03T00:00:00"/>
    <n v="2"/>
  </r>
  <r>
    <s v="U960"/>
    <x v="208"/>
    <s v="2024-01-07 10:35"/>
    <x v="0"/>
    <s v="P340"/>
    <x v="3"/>
    <s v="Mobile"/>
    <x v="1"/>
    <n v="0"/>
    <d v="2024-01-07T00:00:00"/>
    <n v="1"/>
  </r>
  <r>
    <s v="U574"/>
    <x v="209"/>
    <s v="2024-01-23 09:19"/>
    <x v="1"/>
    <s v="P106"/>
    <x v="0"/>
    <s v="Tablet"/>
    <x v="3"/>
    <n v="0"/>
    <d v="2024-01-23T00:00:00"/>
    <n v="1"/>
  </r>
  <r>
    <s v="U939"/>
    <x v="210"/>
    <s v="2024-01-17 12:13"/>
    <x v="0"/>
    <s v="P119"/>
    <x v="1"/>
    <s v="Desktop"/>
    <x v="1"/>
    <n v="0"/>
    <d v="2024-01-17T00:00:00"/>
    <n v="1"/>
  </r>
  <r>
    <s v="U436"/>
    <x v="211"/>
    <s v="2024-01-23 05:34"/>
    <x v="1"/>
    <s v="P812"/>
    <x v="1"/>
    <s v="Desktop"/>
    <x v="1"/>
    <n v="0"/>
    <d v="2024-01-23T00:00:00"/>
    <n v="1"/>
  </r>
  <r>
    <s v="U253"/>
    <x v="11"/>
    <s v="2024-01-02 10:34"/>
    <x v="1"/>
    <s v="P890"/>
    <x v="4"/>
    <s v="Tablet"/>
    <x v="0"/>
    <n v="0"/>
    <d v="2024-01-02T00:00:00"/>
    <n v="1"/>
  </r>
  <r>
    <s v="U393"/>
    <x v="212"/>
    <s v="2024-01-17 06:12"/>
    <x v="0"/>
    <s v="P566"/>
    <x v="3"/>
    <s v="Tablet"/>
    <x v="2"/>
    <n v="0"/>
    <d v="2024-01-17T00:00:00"/>
    <n v="1"/>
  </r>
  <r>
    <s v="U889"/>
    <x v="213"/>
    <s v="2024-01-04 08:58"/>
    <x v="2"/>
    <s v="P249"/>
    <x v="2"/>
    <s v="Mobile"/>
    <x v="0"/>
    <n v="617"/>
    <d v="2024-01-04T00:00:00"/>
    <n v="1"/>
  </r>
  <r>
    <s v="U298"/>
    <x v="214"/>
    <s v="2024-01-02 22:56"/>
    <x v="1"/>
    <s v="P694"/>
    <x v="1"/>
    <s v="Mobile"/>
    <x v="0"/>
    <n v="0"/>
    <d v="2024-01-02T00:00:00"/>
    <n v="1"/>
  </r>
  <r>
    <s v="U931"/>
    <x v="215"/>
    <s v="2024-01-29 06:05"/>
    <x v="2"/>
    <s v="P947"/>
    <x v="4"/>
    <s v="Desktop"/>
    <x v="3"/>
    <n v="1244"/>
    <d v="2024-01-29T00:00:00"/>
    <n v="1"/>
  </r>
  <r>
    <s v="U989"/>
    <x v="216"/>
    <s v="2024-01-02 08:27"/>
    <x v="1"/>
    <s v="P528"/>
    <x v="3"/>
    <s v="Desktop"/>
    <x v="2"/>
    <n v="0"/>
    <d v="2024-01-02T00:00:00"/>
    <n v="1"/>
  </r>
  <r>
    <s v="U992"/>
    <x v="217"/>
    <s v="2024-01-08 13:30"/>
    <x v="0"/>
    <s v="P417"/>
    <x v="0"/>
    <s v="Desktop"/>
    <x v="0"/>
    <n v="0"/>
    <d v="2024-01-08T00:00:00"/>
    <n v="1"/>
  </r>
  <r>
    <s v="U537"/>
    <x v="218"/>
    <s v="2024-01-07 18:35"/>
    <x v="2"/>
    <s v="P826"/>
    <x v="2"/>
    <s v="Tablet"/>
    <x v="4"/>
    <n v="560"/>
    <d v="2024-01-07T00:00:00"/>
    <n v="1"/>
  </r>
  <r>
    <s v="U342"/>
    <x v="3"/>
    <s v="2024-01-27 02:25"/>
    <x v="1"/>
    <s v="P498"/>
    <x v="0"/>
    <s v="Desktop"/>
    <x v="2"/>
    <n v="0"/>
    <d v="2024-01-27T00:00:00"/>
    <n v="1"/>
  </r>
  <r>
    <s v="U996"/>
    <x v="219"/>
    <s v="2024-01-28 06:00"/>
    <x v="1"/>
    <s v="P905"/>
    <x v="2"/>
    <s v="Tablet"/>
    <x v="2"/>
    <n v="0"/>
    <d v="2024-01-28T00:00:00"/>
    <n v="1"/>
  </r>
  <r>
    <s v="U357"/>
    <x v="220"/>
    <s v="2024-01-23 02:28"/>
    <x v="1"/>
    <s v="P880"/>
    <x v="2"/>
    <s v="Tablet"/>
    <x v="0"/>
    <n v="0"/>
    <d v="2024-01-23T00:00:00"/>
    <n v="1"/>
  </r>
  <r>
    <s v="U546"/>
    <x v="221"/>
    <s v="2024-01-10 07:25"/>
    <x v="2"/>
    <s v="P332"/>
    <x v="1"/>
    <s v="Mobile"/>
    <x v="1"/>
    <n v="1210"/>
    <d v="2024-01-10T00:00:00"/>
    <n v="1"/>
  </r>
  <r>
    <s v="U149"/>
    <x v="222"/>
    <s v="2024-01-04 06:07"/>
    <x v="2"/>
    <s v="P516"/>
    <x v="1"/>
    <s v="Mobile"/>
    <x v="1"/>
    <n v="1347"/>
    <d v="2024-01-04T00:00:00"/>
    <n v="1"/>
  </r>
  <r>
    <s v="U563"/>
    <x v="223"/>
    <s v="2024-01-10 22:52"/>
    <x v="2"/>
    <s v="P367"/>
    <x v="2"/>
    <s v="Desktop"/>
    <x v="1"/>
    <n v="4253"/>
    <d v="2024-01-10T00:00:00"/>
    <n v="1"/>
  </r>
  <r>
    <s v="U963"/>
    <x v="224"/>
    <s v="2024-01-26 13:42"/>
    <x v="1"/>
    <s v="P802"/>
    <x v="1"/>
    <s v="Desktop"/>
    <x v="0"/>
    <n v="0"/>
    <d v="2024-01-26T00:00:00"/>
    <n v="1"/>
  </r>
  <r>
    <s v="U793"/>
    <x v="225"/>
    <s v="2024-01-29 22:55"/>
    <x v="1"/>
    <s v="P481"/>
    <x v="3"/>
    <s v="Mobile"/>
    <x v="3"/>
    <n v="0"/>
    <d v="2024-01-29T00:00:00"/>
    <n v="1"/>
  </r>
  <r>
    <s v="U362"/>
    <x v="226"/>
    <s v="2024-01-13 05:18"/>
    <x v="0"/>
    <s v="P341"/>
    <x v="3"/>
    <s v="Desktop"/>
    <x v="4"/>
    <n v="0"/>
    <d v="2024-01-13T00:00:00"/>
    <n v="1"/>
  </r>
  <r>
    <s v="U336"/>
    <x v="227"/>
    <s v="2024-01-30 07:48"/>
    <x v="2"/>
    <s v="P559"/>
    <x v="0"/>
    <s v="Desktop"/>
    <x v="0"/>
    <n v="1753"/>
    <d v="2024-01-30T00:00:00"/>
    <n v="1"/>
  </r>
  <r>
    <s v="U573"/>
    <x v="228"/>
    <s v="2024-01-31 12:36"/>
    <x v="1"/>
    <s v="P766"/>
    <x v="3"/>
    <s v="Tablet"/>
    <x v="2"/>
    <n v="0"/>
    <d v="2024-01-31T00:00:00"/>
    <n v="1"/>
  </r>
  <r>
    <s v="U478"/>
    <x v="229"/>
    <s v="2024-01-27 00:25"/>
    <x v="1"/>
    <s v="P365"/>
    <x v="3"/>
    <s v="Tablet"/>
    <x v="2"/>
    <n v="0"/>
    <d v="2024-01-27T00:00:00"/>
    <n v="1"/>
  </r>
  <r>
    <s v="U403"/>
    <x v="230"/>
    <s v="2024-01-11 10:04"/>
    <x v="2"/>
    <s v="P510"/>
    <x v="4"/>
    <s v="Desktop"/>
    <x v="3"/>
    <n v="4216"/>
    <d v="2024-01-11T00:00:00"/>
    <n v="1"/>
  </r>
  <r>
    <s v="U418"/>
    <x v="231"/>
    <s v="2024-01-13 02:13"/>
    <x v="2"/>
    <s v="P914"/>
    <x v="0"/>
    <s v="Desktop"/>
    <x v="4"/>
    <n v="2735"/>
    <d v="2024-01-13T00:00:00"/>
    <n v="1"/>
  </r>
  <r>
    <s v="U659"/>
    <x v="232"/>
    <s v="2024-01-31 21:02"/>
    <x v="1"/>
    <s v="P210"/>
    <x v="0"/>
    <s v="Tablet"/>
    <x v="2"/>
    <n v="0"/>
    <d v="2024-01-31T00:00:00"/>
    <n v="1"/>
  </r>
  <r>
    <s v="U126"/>
    <x v="233"/>
    <s v="2024-01-20 22:11"/>
    <x v="0"/>
    <s v="P785"/>
    <x v="2"/>
    <s v="Tablet"/>
    <x v="3"/>
    <n v="0"/>
    <d v="2024-01-20T00:00:00"/>
    <n v="1"/>
  </r>
  <r>
    <s v="U680"/>
    <x v="234"/>
    <s v="2024-01-01 13:30"/>
    <x v="1"/>
    <s v="P345"/>
    <x v="0"/>
    <s v="Desktop"/>
    <x v="1"/>
    <n v="0"/>
    <d v="2024-01-01T00:00:00"/>
    <n v="1"/>
  </r>
  <r>
    <s v="U478"/>
    <x v="235"/>
    <s v="2024-01-13 14:46"/>
    <x v="2"/>
    <s v="P473"/>
    <x v="2"/>
    <s v="Tablet"/>
    <x v="4"/>
    <n v="2199"/>
    <d v="2024-01-13T00:00:00"/>
    <n v="1"/>
  </r>
  <r>
    <s v="U944"/>
    <x v="236"/>
    <s v="2024-01-17 13:37"/>
    <x v="2"/>
    <s v="P595"/>
    <x v="4"/>
    <s v="Mobile"/>
    <x v="4"/>
    <n v="835"/>
    <d v="2024-01-17T00:00:00"/>
    <n v="1"/>
  </r>
  <r>
    <s v="U285"/>
    <x v="237"/>
    <s v="2024-01-21 16:26"/>
    <x v="1"/>
    <s v="P281"/>
    <x v="0"/>
    <s v="Desktop"/>
    <x v="2"/>
    <n v="0"/>
    <d v="2024-01-21T00:00:00"/>
    <n v="1"/>
  </r>
  <r>
    <s v="U417"/>
    <x v="238"/>
    <s v="2024-02-02 14:47"/>
    <x v="1"/>
    <s v="P933"/>
    <x v="3"/>
    <s v="Mobile"/>
    <x v="1"/>
    <n v="0"/>
    <d v="2024-02-02T00:00:00"/>
    <n v="2"/>
  </r>
  <r>
    <s v="U983"/>
    <x v="239"/>
    <s v="2024-01-27 23:57"/>
    <x v="1"/>
    <s v="P552"/>
    <x v="3"/>
    <s v="Mobile"/>
    <x v="2"/>
    <n v="0"/>
    <d v="2024-01-27T00:00:00"/>
    <n v="1"/>
  </r>
  <r>
    <s v="U142"/>
    <x v="240"/>
    <s v="2024-01-23 17:46"/>
    <x v="2"/>
    <s v="P325"/>
    <x v="4"/>
    <s v="Tablet"/>
    <x v="3"/>
    <n v="3730"/>
    <d v="2024-01-23T00:00:00"/>
    <n v="1"/>
  </r>
  <r>
    <s v="U483"/>
    <x v="241"/>
    <s v="2024-01-14 01:04"/>
    <x v="0"/>
    <s v="P246"/>
    <x v="0"/>
    <s v="Tablet"/>
    <x v="4"/>
    <n v="0"/>
    <d v="2024-01-14T00:00:00"/>
    <n v="1"/>
  </r>
  <r>
    <s v="U779"/>
    <x v="242"/>
    <s v="2024-01-10 21:41"/>
    <x v="0"/>
    <s v="P124"/>
    <x v="4"/>
    <s v="Tablet"/>
    <x v="2"/>
    <n v="0"/>
    <d v="2024-01-10T00:00:00"/>
    <n v="1"/>
  </r>
  <r>
    <s v="U601"/>
    <x v="199"/>
    <s v="2024-01-21 05:27"/>
    <x v="2"/>
    <s v="P218"/>
    <x v="2"/>
    <s v="Mobile"/>
    <x v="4"/>
    <n v="1697"/>
    <d v="2024-01-21T00:00:00"/>
    <n v="1"/>
  </r>
  <r>
    <s v="U302"/>
    <x v="243"/>
    <s v="2024-01-31 12:27"/>
    <x v="0"/>
    <s v="P793"/>
    <x v="2"/>
    <s v="Tablet"/>
    <x v="1"/>
    <n v="0"/>
    <d v="2024-01-31T00:00:00"/>
    <n v="1"/>
  </r>
  <r>
    <s v="U681"/>
    <x v="244"/>
    <s v="2024-01-08 11:31"/>
    <x v="2"/>
    <s v="P221"/>
    <x v="2"/>
    <s v="Desktop"/>
    <x v="3"/>
    <n v="710"/>
    <d v="2024-01-08T00:00:00"/>
    <n v="1"/>
  </r>
  <r>
    <s v="U670"/>
    <x v="245"/>
    <s v="2024-01-11 05:12"/>
    <x v="1"/>
    <s v="P697"/>
    <x v="0"/>
    <s v="Desktop"/>
    <x v="2"/>
    <n v="0"/>
    <d v="2024-01-11T00:00:00"/>
    <n v="1"/>
  </r>
  <r>
    <s v="U191"/>
    <x v="246"/>
    <s v="2024-01-12 18:47"/>
    <x v="2"/>
    <s v="P604"/>
    <x v="3"/>
    <s v="Desktop"/>
    <x v="2"/>
    <n v="3449"/>
    <d v="2024-01-12T00:00:00"/>
    <n v="1"/>
  </r>
  <r>
    <s v="U449"/>
    <x v="247"/>
    <s v="2024-01-09 21:42"/>
    <x v="1"/>
    <s v="P328"/>
    <x v="4"/>
    <s v="Mobile"/>
    <x v="2"/>
    <n v="0"/>
    <d v="2024-01-09T00:00:00"/>
    <n v="1"/>
  </r>
  <r>
    <s v="U548"/>
    <x v="248"/>
    <s v="2024-01-11 17:38"/>
    <x v="2"/>
    <s v="P210"/>
    <x v="2"/>
    <s v="Mobile"/>
    <x v="2"/>
    <n v="4946"/>
    <d v="2024-01-11T00:00:00"/>
    <n v="1"/>
  </r>
  <r>
    <s v="U246"/>
    <x v="249"/>
    <s v="2024-01-28 15:07"/>
    <x v="1"/>
    <s v="P239"/>
    <x v="1"/>
    <s v="Tablet"/>
    <x v="2"/>
    <n v="0"/>
    <d v="2024-01-28T00:00:00"/>
    <n v="1"/>
  </r>
  <r>
    <s v="U712"/>
    <x v="250"/>
    <s v="2024-01-18 12:32"/>
    <x v="1"/>
    <s v="P582"/>
    <x v="0"/>
    <s v="Desktop"/>
    <x v="2"/>
    <n v="0"/>
    <d v="2024-01-18T00:00:00"/>
    <n v="1"/>
  </r>
  <r>
    <s v="U736"/>
    <x v="251"/>
    <s v="2024-01-26 21:23"/>
    <x v="0"/>
    <s v="P647"/>
    <x v="0"/>
    <s v="Desktop"/>
    <x v="2"/>
    <n v="0"/>
    <d v="2024-01-26T00:00:00"/>
    <n v="1"/>
  </r>
  <r>
    <s v="U474"/>
    <x v="252"/>
    <s v="2024-01-18 07:37"/>
    <x v="2"/>
    <s v="P343"/>
    <x v="1"/>
    <s v="Tablet"/>
    <x v="3"/>
    <n v="4789"/>
    <d v="2024-01-18T00:00:00"/>
    <n v="1"/>
  </r>
  <r>
    <s v="U556"/>
    <x v="253"/>
    <s v="2024-01-12 09:53"/>
    <x v="0"/>
    <s v="P468"/>
    <x v="1"/>
    <s v="Desktop"/>
    <x v="2"/>
    <n v="0"/>
    <d v="2024-01-12T00:00:00"/>
    <n v="1"/>
  </r>
  <r>
    <s v="U595"/>
    <x v="254"/>
    <s v="2024-01-02 07:25"/>
    <x v="2"/>
    <s v="P192"/>
    <x v="1"/>
    <s v="Tablet"/>
    <x v="0"/>
    <n v="572"/>
    <d v="2024-01-02T00:00:00"/>
    <n v="1"/>
  </r>
  <r>
    <s v="U179"/>
    <x v="255"/>
    <s v="2024-01-23 17:32"/>
    <x v="2"/>
    <s v="P939"/>
    <x v="0"/>
    <s v="Mobile"/>
    <x v="0"/>
    <n v="2536"/>
    <d v="2024-01-23T00:00:00"/>
    <n v="1"/>
  </r>
  <r>
    <s v="U184"/>
    <x v="256"/>
    <s v="2024-01-04 21:46"/>
    <x v="2"/>
    <s v="P193"/>
    <x v="4"/>
    <s v="Mobile"/>
    <x v="3"/>
    <n v="1722"/>
    <d v="2024-01-04T00:00:00"/>
    <n v="1"/>
  </r>
  <r>
    <s v="U904"/>
    <x v="257"/>
    <s v="2024-01-24 11:42"/>
    <x v="0"/>
    <s v="P637"/>
    <x v="3"/>
    <s v="Desktop"/>
    <x v="4"/>
    <n v="0"/>
    <d v="2024-01-24T00:00:00"/>
    <n v="1"/>
  </r>
  <r>
    <s v="U926"/>
    <x v="258"/>
    <s v="2024-01-07 01:37"/>
    <x v="0"/>
    <s v="P524"/>
    <x v="3"/>
    <s v="Desktop"/>
    <x v="2"/>
    <n v="0"/>
    <d v="2024-01-07T00:00:00"/>
    <n v="1"/>
  </r>
  <r>
    <s v="U364"/>
    <x v="221"/>
    <s v="2024-01-29 06:46"/>
    <x v="2"/>
    <s v="P167"/>
    <x v="4"/>
    <s v="Desktop"/>
    <x v="1"/>
    <n v="4511"/>
    <d v="2024-01-29T00:00:00"/>
    <n v="1"/>
  </r>
  <r>
    <s v="U103"/>
    <x v="259"/>
    <s v="2024-01-08 09:58"/>
    <x v="1"/>
    <s v="P759"/>
    <x v="2"/>
    <s v="Mobile"/>
    <x v="3"/>
    <n v="0"/>
    <d v="2024-01-08T00:00:00"/>
    <n v="1"/>
  </r>
  <r>
    <s v="U310"/>
    <x v="260"/>
    <s v="2024-01-19 08:10"/>
    <x v="2"/>
    <s v="P214"/>
    <x v="2"/>
    <s v="Desktop"/>
    <x v="3"/>
    <n v="414"/>
    <d v="2024-01-19T00:00:00"/>
    <n v="1"/>
  </r>
  <r>
    <s v="U900"/>
    <x v="261"/>
    <s v="2024-01-27 14:42"/>
    <x v="1"/>
    <s v="P641"/>
    <x v="2"/>
    <s v="Desktop"/>
    <x v="0"/>
    <n v="0"/>
    <d v="2024-01-27T00:00:00"/>
    <n v="1"/>
  </r>
  <r>
    <s v="U497"/>
    <x v="262"/>
    <s v="2024-01-10 03:27"/>
    <x v="2"/>
    <s v="P923"/>
    <x v="0"/>
    <s v="Desktop"/>
    <x v="2"/>
    <n v="1831"/>
    <d v="2024-01-10T00:00:00"/>
    <n v="1"/>
  </r>
  <r>
    <s v="U162"/>
    <x v="263"/>
    <s v="2024-01-14 13:24"/>
    <x v="2"/>
    <s v="P284"/>
    <x v="4"/>
    <s v="Desktop"/>
    <x v="1"/>
    <n v="4070"/>
    <d v="2024-01-14T00:00:00"/>
    <n v="1"/>
  </r>
  <r>
    <s v="U857"/>
    <x v="264"/>
    <s v="2024-01-17 11:09"/>
    <x v="0"/>
    <s v="P233"/>
    <x v="1"/>
    <s v="Tablet"/>
    <x v="3"/>
    <n v="0"/>
    <d v="2024-01-17T00:00:00"/>
    <n v="1"/>
  </r>
  <r>
    <s v="U880"/>
    <x v="265"/>
    <s v="2024-01-23 05:52"/>
    <x v="2"/>
    <s v="P110"/>
    <x v="3"/>
    <s v="Desktop"/>
    <x v="3"/>
    <n v="622"/>
    <d v="2024-01-23T00:00:00"/>
    <n v="1"/>
  </r>
  <r>
    <s v="U990"/>
    <x v="266"/>
    <s v="2024-01-26 23:06"/>
    <x v="2"/>
    <s v="P190"/>
    <x v="3"/>
    <s v="Desktop"/>
    <x v="0"/>
    <n v="1205"/>
    <d v="2024-01-26T00:00:00"/>
    <n v="1"/>
  </r>
  <r>
    <s v="U399"/>
    <x v="267"/>
    <s v="2024-01-13 22:16"/>
    <x v="0"/>
    <s v="P949"/>
    <x v="0"/>
    <s v="Mobile"/>
    <x v="0"/>
    <n v="0"/>
    <d v="2024-01-13T00:00:00"/>
    <n v="1"/>
  </r>
  <r>
    <s v="U188"/>
    <x v="268"/>
    <s v="2024-01-15 01:42"/>
    <x v="0"/>
    <s v="P161"/>
    <x v="1"/>
    <s v="Desktop"/>
    <x v="4"/>
    <n v="0"/>
    <d v="2024-01-15T00:00:00"/>
    <n v="1"/>
  </r>
  <r>
    <s v="U470"/>
    <x v="269"/>
    <s v="2024-01-01 09:01"/>
    <x v="1"/>
    <s v="P530"/>
    <x v="2"/>
    <s v="Mobile"/>
    <x v="0"/>
    <n v="0"/>
    <d v="2024-01-01T00:00:00"/>
    <n v="1"/>
  </r>
  <r>
    <s v="U116"/>
    <x v="270"/>
    <s v="2024-01-16 10:29"/>
    <x v="2"/>
    <s v="P926"/>
    <x v="0"/>
    <s v="Desktop"/>
    <x v="2"/>
    <n v="305"/>
    <d v="2024-01-16T00:00:00"/>
    <n v="1"/>
  </r>
  <r>
    <s v="U102"/>
    <x v="271"/>
    <s v="2024-01-07 14:34"/>
    <x v="1"/>
    <s v="P679"/>
    <x v="2"/>
    <s v="Mobile"/>
    <x v="3"/>
    <n v="0"/>
    <d v="2024-01-07T00:00:00"/>
    <n v="1"/>
  </r>
  <r>
    <s v="U420"/>
    <x v="272"/>
    <s v="2024-01-20 00:09"/>
    <x v="2"/>
    <s v="P163"/>
    <x v="0"/>
    <s v="Desktop"/>
    <x v="4"/>
    <n v="1875"/>
    <d v="2024-01-20T00:00:00"/>
    <n v="1"/>
  </r>
  <r>
    <s v="U809"/>
    <x v="273"/>
    <s v="2024-01-01 16:47"/>
    <x v="2"/>
    <s v="P898"/>
    <x v="0"/>
    <s v="Tablet"/>
    <x v="1"/>
    <n v="2736"/>
    <d v="2024-01-01T00:00:00"/>
    <n v="1"/>
  </r>
  <r>
    <s v="U999"/>
    <x v="274"/>
    <s v="2024-01-09 16:33"/>
    <x v="0"/>
    <s v="P226"/>
    <x v="4"/>
    <s v="Desktop"/>
    <x v="4"/>
    <n v="0"/>
    <d v="2024-01-09T00:00:00"/>
    <n v="1"/>
  </r>
  <r>
    <s v="U960"/>
    <x v="275"/>
    <s v="2024-01-18 07:55"/>
    <x v="2"/>
    <s v="P439"/>
    <x v="4"/>
    <s v="Tablet"/>
    <x v="0"/>
    <n v="716"/>
    <d v="2024-01-18T00:00:00"/>
    <n v="1"/>
  </r>
  <r>
    <s v="U966"/>
    <x v="276"/>
    <s v="2024-01-24 02:14"/>
    <x v="0"/>
    <s v="P883"/>
    <x v="2"/>
    <s v="Desktop"/>
    <x v="2"/>
    <n v="0"/>
    <d v="2024-01-24T00:00:00"/>
    <n v="1"/>
  </r>
  <r>
    <s v="U523"/>
    <x v="277"/>
    <s v="2024-01-12 03:44"/>
    <x v="1"/>
    <s v="P589"/>
    <x v="0"/>
    <s v="Tablet"/>
    <x v="1"/>
    <n v="0"/>
    <d v="2024-01-12T00:00:00"/>
    <n v="1"/>
  </r>
  <r>
    <s v="U999"/>
    <x v="278"/>
    <s v="2024-01-20 22:27"/>
    <x v="0"/>
    <s v="P354"/>
    <x v="2"/>
    <s v="Desktop"/>
    <x v="0"/>
    <n v="0"/>
    <d v="2024-01-20T00:00:00"/>
    <n v="1"/>
  </r>
  <r>
    <s v="U744"/>
    <x v="116"/>
    <s v="2024-01-15 21:17"/>
    <x v="2"/>
    <s v="P633"/>
    <x v="4"/>
    <s v="Desktop"/>
    <x v="1"/>
    <n v="4593"/>
    <d v="2024-01-15T00:00:00"/>
    <n v="1"/>
  </r>
  <r>
    <s v="U384"/>
    <x v="279"/>
    <s v="2024-01-06 10:57"/>
    <x v="2"/>
    <s v="P934"/>
    <x v="3"/>
    <s v="Desktop"/>
    <x v="3"/>
    <n v="4063"/>
    <d v="2024-01-06T00:00:00"/>
    <n v="1"/>
  </r>
  <r>
    <s v="U236"/>
    <x v="59"/>
    <s v="2024-01-24 19:48"/>
    <x v="0"/>
    <s v="P176"/>
    <x v="2"/>
    <s v="Tablet"/>
    <x v="4"/>
    <n v="0"/>
    <d v="2024-01-24T00:00:00"/>
    <n v="1"/>
  </r>
  <r>
    <s v="U631"/>
    <x v="280"/>
    <s v="2024-01-26 19:58"/>
    <x v="2"/>
    <s v="P406"/>
    <x v="0"/>
    <s v="Desktop"/>
    <x v="3"/>
    <n v="1602"/>
    <d v="2024-01-26T00:00:00"/>
    <n v="1"/>
  </r>
  <r>
    <s v="U402"/>
    <x v="281"/>
    <s v="2024-01-16 08:07"/>
    <x v="0"/>
    <s v="P691"/>
    <x v="2"/>
    <s v="Tablet"/>
    <x v="1"/>
    <n v="0"/>
    <d v="2024-01-16T00:00:00"/>
    <n v="1"/>
  </r>
  <r>
    <s v="U227"/>
    <x v="282"/>
    <s v="2024-01-11 15:46"/>
    <x v="2"/>
    <s v="P846"/>
    <x v="1"/>
    <s v="Desktop"/>
    <x v="0"/>
    <n v="750"/>
    <d v="2024-01-11T00:00:00"/>
    <n v="1"/>
  </r>
  <r>
    <s v="U947"/>
    <x v="283"/>
    <s v="2024-01-19 22:46"/>
    <x v="2"/>
    <s v="P375"/>
    <x v="1"/>
    <s v="Tablet"/>
    <x v="4"/>
    <n v="2065"/>
    <d v="2024-01-19T00:00:00"/>
    <n v="1"/>
  </r>
  <r>
    <s v="U875"/>
    <x v="284"/>
    <s v="2024-02-01 09:26"/>
    <x v="2"/>
    <s v="P473"/>
    <x v="0"/>
    <s v="Desktop"/>
    <x v="2"/>
    <n v="1565"/>
    <d v="2024-02-01T00:00:00"/>
    <n v="2"/>
  </r>
  <r>
    <s v="U912"/>
    <x v="285"/>
    <s v="2024-01-23 06:11"/>
    <x v="0"/>
    <s v="P746"/>
    <x v="0"/>
    <s v="Mobile"/>
    <x v="3"/>
    <n v="0"/>
    <d v="2024-01-23T00:00:00"/>
    <n v="1"/>
  </r>
  <r>
    <s v="U924"/>
    <x v="286"/>
    <s v="2024-01-23 00:40"/>
    <x v="2"/>
    <s v="P325"/>
    <x v="2"/>
    <s v="Desktop"/>
    <x v="2"/>
    <n v="2520"/>
    <d v="2024-01-23T00:00:00"/>
    <n v="1"/>
  </r>
  <r>
    <s v="U192"/>
    <x v="287"/>
    <s v="2024-01-09 22:55"/>
    <x v="0"/>
    <s v="P105"/>
    <x v="4"/>
    <s v="Tablet"/>
    <x v="3"/>
    <n v="0"/>
    <d v="2024-01-09T00:00:00"/>
    <n v="1"/>
  </r>
  <r>
    <s v="U107"/>
    <x v="288"/>
    <s v="2024-01-08 09:34"/>
    <x v="2"/>
    <s v="P742"/>
    <x v="3"/>
    <s v="Desktop"/>
    <x v="0"/>
    <n v="3630"/>
    <d v="2024-01-08T00:00:00"/>
    <n v="1"/>
  </r>
  <r>
    <s v="U335"/>
    <x v="289"/>
    <s v="2024-01-27 18:36"/>
    <x v="2"/>
    <s v="P710"/>
    <x v="3"/>
    <s v="Mobile"/>
    <x v="3"/>
    <n v="2971"/>
    <d v="2024-01-27T00:00:00"/>
    <n v="1"/>
  </r>
  <r>
    <s v="U255"/>
    <x v="290"/>
    <s v="2024-02-04 16:06"/>
    <x v="1"/>
    <s v="P985"/>
    <x v="1"/>
    <s v="Desktop"/>
    <x v="3"/>
    <n v="0"/>
    <d v="2024-02-04T00:00:00"/>
    <n v="2"/>
  </r>
  <r>
    <s v="U286"/>
    <x v="291"/>
    <s v="2024-01-31 10:56"/>
    <x v="2"/>
    <s v="P936"/>
    <x v="2"/>
    <s v="Desktop"/>
    <x v="3"/>
    <n v="2177"/>
    <d v="2024-01-31T00:00:00"/>
    <n v="1"/>
  </r>
  <r>
    <s v="U837"/>
    <x v="292"/>
    <s v="2024-01-04 13:26"/>
    <x v="0"/>
    <s v="P135"/>
    <x v="4"/>
    <s v="Mobile"/>
    <x v="1"/>
    <n v="0"/>
    <d v="2024-01-04T00:00:00"/>
    <n v="1"/>
  </r>
  <r>
    <s v="U892"/>
    <x v="293"/>
    <s v="2024-01-09 08:46"/>
    <x v="0"/>
    <s v="P251"/>
    <x v="3"/>
    <s v="Desktop"/>
    <x v="2"/>
    <n v="0"/>
    <d v="2024-01-09T00:00:00"/>
    <n v="1"/>
  </r>
  <r>
    <s v="U689"/>
    <x v="33"/>
    <s v="2024-01-21 15:16"/>
    <x v="0"/>
    <s v="P251"/>
    <x v="3"/>
    <s v="Mobile"/>
    <x v="0"/>
    <n v="0"/>
    <d v="2024-01-21T00:00:00"/>
    <n v="1"/>
  </r>
  <r>
    <s v="U957"/>
    <x v="294"/>
    <s v="2024-01-28 23:55"/>
    <x v="2"/>
    <s v="P213"/>
    <x v="1"/>
    <s v="Desktop"/>
    <x v="4"/>
    <n v="1068"/>
    <d v="2024-01-28T00:00:00"/>
    <n v="1"/>
  </r>
  <r>
    <s v="U190"/>
    <x v="295"/>
    <s v="2024-01-18 02:42"/>
    <x v="1"/>
    <s v="P963"/>
    <x v="1"/>
    <s v="Tablet"/>
    <x v="1"/>
    <n v="0"/>
    <d v="2024-01-18T00:00:00"/>
    <n v="1"/>
  </r>
  <r>
    <s v="U620"/>
    <x v="296"/>
    <s v="2024-01-15 02:01"/>
    <x v="1"/>
    <s v="P124"/>
    <x v="3"/>
    <s v="Mobile"/>
    <x v="0"/>
    <n v="0"/>
    <d v="2024-01-15T00:00:00"/>
    <n v="1"/>
  </r>
  <r>
    <s v="U912"/>
    <x v="297"/>
    <s v="2024-01-10 15:10"/>
    <x v="0"/>
    <s v="P637"/>
    <x v="3"/>
    <s v="Mobile"/>
    <x v="2"/>
    <n v="0"/>
    <d v="2024-01-10T00:00:00"/>
    <n v="1"/>
  </r>
  <r>
    <s v="U572"/>
    <x v="298"/>
    <s v="2024-01-21 19:07"/>
    <x v="2"/>
    <s v="P623"/>
    <x v="0"/>
    <s v="Mobile"/>
    <x v="2"/>
    <n v="2486"/>
    <d v="2024-01-21T00:00:00"/>
    <n v="1"/>
  </r>
  <r>
    <s v="U964"/>
    <x v="299"/>
    <s v="2024-02-04 16:32"/>
    <x v="1"/>
    <s v="P437"/>
    <x v="4"/>
    <s v="Mobile"/>
    <x v="0"/>
    <n v="0"/>
    <d v="2024-02-04T00:00:00"/>
    <n v="2"/>
  </r>
  <r>
    <s v="U821"/>
    <x v="300"/>
    <s v="2024-01-19 21:59"/>
    <x v="1"/>
    <s v="P189"/>
    <x v="1"/>
    <s v="Mobile"/>
    <x v="1"/>
    <n v="0"/>
    <d v="2024-01-19T00:00:00"/>
    <n v="1"/>
  </r>
  <r>
    <s v="U493"/>
    <x v="301"/>
    <s v="2024-02-01 04:30"/>
    <x v="2"/>
    <s v="P666"/>
    <x v="3"/>
    <s v="Desktop"/>
    <x v="2"/>
    <n v="944"/>
    <d v="2024-02-01T00:00:00"/>
    <n v="2"/>
  </r>
  <r>
    <s v="U400"/>
    <x v="302"/>
    <s v="2024-02-01 11:56"/>
    <x v="2"/>
    <s v="P895"/>
    <x v="1"/>
    <s v="Mobile"/>
    <x v="1"/>
    <n v="4646"/>
    <d v="2024-02-01T00:00:00"/>
    <n v="2"/>
  </r>
  <r>
    <s v="U530"/>
    <x v="303"/>
    <s v="2024-01-26 07:54"/>
    <x v="2"/>
    <s v="P262"/>
    <x v="2"/>
    <s v="Mobile"/>
    <x v="1"/>
    <n v="1304"/>
    <d v="2024-01-26T00:00:00"/>
    <n v="1"/>
  </r>
  <r>
    <s v="U284"/>
    <x v="304"/>
    <s v="2024-01-06 06:09"/>
    <x v="2"/>
    <s v="P176"/>
    <x v="4"/>
    <s v="Tablet"/>
    <x v="0"/>
    <n v="827"/>
    <d v="2024-01-06T00:00:00"/>
    <n v="1"/>
  </r>
  <r>
    <s v="U893"/>
    <x v="305"/>
    <s v="2024-01-27 16:24"/>
    <x v="1"/>
    <s v="P151"/>
    <x v="2"/>
    <s v="Tablet"/>
    <x v="0"/>
    <n v="0"/>
    <d v="2024-01-27T00:00:00"/>
    <n v="1"/>
  </r>
  <r>
    <s v="U536"/>
    <x v="306"/>
    <s v="2024-01-12 04:23"/>
    <x v="0"/>
    <s v="P177"/>
    <x v="1"/>
    <s v="Tablet"/>
    <x v="4"/>
    <n v="0"/>
    <d v="2024-01-12T00:00:00"/>
    <n v="1"/>
  </r>
  <r>
    <s v="U508"/>
    <x v="307"/>
    <s v="2024-01-20 05:01"/>
    <x v="2"/>
    <s v="P990"/>
    <x v="3"/>
    <s v="Tablet"/>
    <x v="3"/>
    <n v="2526"/>
    <d v="2024-01-20T00:00:00"/>
    <n v="1"/>
  </r>
  <r>
    <s v="U351"/>
    <x v="308"/>
    <s v="2024-01-25 23:30"/>
    <x v="2"/>
    <s v="P439"/>
    <x v="2"/>
    <s v="Desktop"/>
    <x v="3"/>
    <n v="1549"/>
    <d v="2024-01-25T00:00:00"/>
    <n v="1"/>
  </r>
  <r>
    <s v="U828"/>
    <x v="309"/>
    <s v="2024-01-08 02:58"/>
    <x v="2"/>
    <s v="P224"/>
    <x v="2"/>
    <s v="Desktop"/>
    <x v="4"/>
    <n v="1085"/>
    <d v="2024-01-08T00:00:00"/>
    <n v="1"/>
  </r>
  <r>
    <s v="U624"/>
    <x v="310"/>
    <s v="2024-01-02 22:30"/>
    <x v="2"/>
    <s v="P736"/>
    <x v="0"/>
    <s v="Mobile"/>
    <x v="4"/>
    <n v="325"/>
    <d v="2024-01-02T00:00:00"/>
    <n v="1"/>
  </r>
  <r>
    <s v="U523"/>
    <x v="311"/>
    <s v="2024-01-14 16:55"/>
    <x v="2"/>
    <s v="P811"/>
    <x v="1"/>
    <s v="Desktop"/>
    <x v="1"/>
    <n v="2469"/>
    <d v="2024-01-14T00:00:00"/>
    <n v="1"/>
  </r>
  <r>
    <s v="U312"/>
    <x v="312"/>
    <s v="2024-01-15 06:22"/>
    <x v="0"/>
    <s v="P284"/>
    <x v="2"/>
    <s v="Desktop"/>
    <x v="3"/>
    <n v="0"/>
    <d v="2024-01-15T00:00:00"/>
    <n v="1"/>
  </r>
  <r>
    <s v="U899"/>
    <x v="313"/>
    <s v="2024-01-29 06:43"/>
    <x v="1"/>
    <s v="P810"/>
    <x v="3"/>
    <s v="Desktop"/>
    <x v="3"/>
    <n v="0"/>
    <d v="2024-01-29T00:00:00"/>
    <n v="1"/>
  </r>
  <r>
    <s v="U832"/>
    <x v="314"/>
    <s v="2024-01-11 01:23"/>
    <x v="1"/>
    <s v="P719"/>
    <x v="4"/>
    <s v="Desktop"/>
    <x v="1"/>
    <n v="0"/>
    <d v="2024-01-11T00:00:00"/>
    <n v="1"/>
  </r>
  <r>
    <s v="U493"/>
    <x v="315"/>
    <s v="2024-01-30 08:00"/>
    <x v="2"/>
    <s v="P419"/>
    <x v="0"/>
    <s v="Tablet"/>
    <x v="1"/>
    <n v="3195"/>
    <d v="2024-01-30T00:00:00"/>
    <n v="1"/>
  </r>
  <r>
    <s v="U425"/>
    <x v="316"/>
    <s v="2024-02-04 08:22"/>
    <x v="0"/>
    <s v="P677"/>
    <x v="1"/>
    <s v="Desktop"/>
    <x v="3"/>
    <n v="0"/>
    <d v="2024-02-04T00:00:00"/>
    <n v="2"/>
  </r>
  <r>
    <s v="U743"/>
    <x v="317"/>
    <s v="2024-02-01 07:18"/>
    <x v="2"/>
    <s v="P300"/>
    <x v="1"/>
    <s v="Mobile"/>
    <x v="4"/>
    <n v="1122"/>
    <d v="2024-02-01T00:00:00"/>
    <n v="2"/>
  </r>
  <r>
    <s v="U423"/>
    <x v="318"/>
    <s v="2024-01-27 02:09"/>
    <x v="1"/>
    <s v="P984"/>
    <x v="0"/>
    <s v="Tablet"/>
    <x v="0"/>
    <n v="0"/>
    <d v="2024-01-27T00:00:00"/>
    <n v="1"/>
  </r>
  <r>
    <s v="U660"/>
    <x v="221"/>
    <s v="2024-01-20 03:43"/>
    <x v="0"/>
    <s v="P411"/>
    <x v="0"/>
    <s v="Tablet"/>
    <x v="3"/>
    <n v="0"/>
    <d v="2024-01-20T00:00:00"/>
    <n v="1"/>
  </r>
  <r>
    <s v="U974"/>
    <x v="319"/>
    <s v="2024-01-07 21:06"/>
    <x v="1"/>
    <s v="P454"/>
    <x v="1"/>
    <s v="Mobile"/>
    <x v="3"/>
    <n v="0"/>
    <d v="2024-01-07T00:00:00"/>
    <n v="1"/>
  </r>
  <r>
    <s v="U904"/>
    <x v="320"/>
    <s v="2024-01-17 14:17"/>
    <x v="1"/>
    <s v="P317"/>
    <x v="4"/>
    <s v="Tablet"/>
    <x v="3"/>
    <n v="0"/>
    <d v="2024-01-17T00:00:00"/>
    <n v="1"/>
  </r>
  <r>
    <s v="U920"/>
    <x v="321"/>
    <s v="2024-01-10 21:49"/>
    <x v="0"/>
    <s v="P355"/>
    <x v="2"/>
    <s v="Tablet"/>
    <x v="3"/>
    <n v="0"/>
    <d v="2024-01-10T00:00:00"/>
    <n v="1"/>
  </r>
  <r>
    <s v="U293"/>
    <x v="322"/>
    <s v="2024-01-17 06:06"/>
    <x v="0"/>
    <s v="P472"/>
    <x v="3"/>
    <s v="Mobile"/>
    <x v="2"/>
    <n v="0"/>
    <d v="2024-01-17T00:00:00"/>
    <n v="1"/>
  </r>
  <r>
    <s v="U293"/>
    <x v="323"/>
    <s v="2024-01-21 07:45"/>
    <x v="2"/>
    <s v="P920"/>
    <x v="4"/>
    <s v="Mobile"/>
    <x v="1"/>
    <n v="4808"/>
    <d v="2024-01-21T00:00:00"/>
    <n v="1"/>
  </r>
  <r>
    <s v="U769"/>
    <x v="324"/>
    <s v="2024-01-27 07:41"/>
    <x v="1"/>
    <s v="P525"/>
    <x v="3"/>
    <s v="Desktop"/>
    <x v="3"/>
    <n v="0"/>
    <d v="2024-01-27T00:00:00"/>
    <n v="1"/>
  </r>
  <r>
    <s v="U496"/>
    <x v="325"/>
    <s v="2024-01-30 15:03"/>
    <x v="0"/>
    <s v="P207"/>
    <x v="1"/>
    <s v="Desktop"/>
    <x v="3"/>
    <n v="0"/>
    <d v="2024-01-30T00:00:00"/>
    <n v="1"/>
  </r>
  <r>
    <s v="U116"/>
    <x v="326"/>
    <s v="2024-01-19 23:41"/>
    <x v="2"/>
    <s v="P225"/>
    <x v="4"/>
    <s v="Tablet"/>
    <x v="3"/>
    <n v="4968"/>
    <d v="2024-01-19T00:00:00"/>
    <n v="1"/>
  </r>
  <r>
    <s v="U959"/>
    <x v="327"/>
    <s v="2024-01-04 08:07"/>
    <x v="0"/>
    <s v="P840"/>
    <x v="3"/>
    <s v="Mobile"/>
    <x v="4"/>
    <n v="0"/>
    <d v="2024-01-04T00:00:00"/>
    <n v="1"/>
  </r>
  <r>
    <s v="U553"/>
    <x v="328"/>
    <s v="2024-01-15 07:20"/>
    <x v="2"/>
    <s v="P150"/>
    <x v="2"/>
    <s v="Desktop"/>
    <x v="2"/>
    <n v="3946"/>
    <d v="2024-01-15T00:00:00"/>
    <n v="1"/>
  </r>
  <r>
    <s v="U535"/>
    <x v="329"/>
    <s v="2024-01-16 19:45"/>
    <x v="1"/>
    <s v="P202"/>
    <x v="2"/>
    <s v="Desktop"/>
    <x v="2"/>
    <n v="0"/>
    <d v="2024-01-16T00:00:00"/>
    <n v="1"/>
  </r>
  <r>
    <s v="U502"/>
    <x v="330"/>
    <s v="2024-01-10 23:19"/>
    <x v="0"/>
    <s v="P798"/>
    <x v="1"/>
    <s v="Desktop"/>
    <x v="2"/>
    <n v="0"/>
    <d v="2024-01-10T00:00:00"/>
    <n v="1"/>
  </r>
  <r>
    <s v="U927"/>
    <x v="331"/>
    <s v="2024-02-01 22:40"/>
    <x v="0"/>
    <s v="P121"/>
    <x v="2"/>
    <s v="Desktop"/>
    <x v="1"/>
    <n v="0"/>
    <d v="2024-02-01T00:00:00"/>
    <n v="2"/>
  </r>
  <r>
    <s v="U209"/>
    <x v="332"/>
    <s v="2024-01-26 10:56"/>
    <x v="2"/>
    <s v="P882"/>
    <x v="0"/>
    <s v="Mobile"/>
    <x v="0"/>
    <n v="3617"/>
    <d v="2024-01-26T00:00:00"/>
    <n v="1"/>
  </r>
  <r>
    <s v="U499"/>
    <x v="333"/>
    <s v="2024-01-12 08:40"/>
    <x v="2"/>
    <s v="P306"/>
    <x v="0"/>
    <s v="Desktop"/>
    <x v="0"/>
    <n v="1327"/>
    <d v="2024-01-12T00:00:00"/>
    <n v="1"/>
  </r>
  <r>
    <s v="U478"/>
    <x v="334"/>
    <s v="2024-01-23 07:33"/>
    <x v="1"/>
    <s v="P911"/>
    <x v="4"/>
    <s v="Desktop"/>
    <x v="2"/>
    <n v="0"/>
    <d v="2024-01-23T00:00:00"/>
    <n v="1"/>
  </r>
  <r>
    <s v="U451"/>
    <x v="335"/>
    <s v="2024-01-26 08:59"/>
    <x v="1"/>
    <s v="P703"/>
    <x v="0"/>
    <s v="Mobile"/>
    <x v="3"/>
    <n v="0"/>
    <d v="2024-01-26T00:00:00"/>
    <n v="1"/>
  </r>
  <r>
    <s v="U512"/>
    <x v="336"/>
    <s v="2024-01-10 21:28"/>
    <x v="0"/>
    <s v="P986"/>
    <x v="4"/>
    <s v="Tablet"/>
    <x v="4"/>
    <n v="0"/>
    <d v="2024-01-10T00:00:00"/>
    <n v="1"/>
  </r>
  <r>
    <s v="U309"/>
    <x v="337"/>
    <s v="2024-01-21 16:41"/>
    <x v="1"/>
    <s v="P820"/>
    <x v="1"/>
    <s v="Mobile"/>
    <x v="4"/>
    <n v="0"/>
    <d v="2024-01-21T00:00:00"/>
    <n v="1"/>
  </r>
  <r>
    <s v="U416"/>
    <x v="338"/>
    <s v="2024-02-03 00:12"/>
    <x v="0"/>
    <s v="P548"/>
    <x v="3"/>
    <s v="Desktop"/>
    <x v="3"/>
    <n v="0"/>
    <d v="2024-02-03T00:00:00"/>
    <n v="2"/>
  </r>
  <r>
    <s v="U321"/>
    <x v="339"/>
    <s v="2024-01-26 14:52"/>
    <x v="2"/>
    <s v="P703"/>
    <x v="0"/>
    <s v="Tablet"/>
    <x v="2"/>
    <n v="3890"/>
    <d v="2024-01-26T00:00:00"/>
    <n v="1"/>
  </r>
  <r>
    <s v="U744"/>
    <x v="340"/>
    <s v="2024-01-10 19:37"/>
    <x v="0"/>
    <s v="P583"/>
    <x v="3"/>
    <s v="Tablet"/>
    <x v="1"/>
    <n v="0"/>
    <d v="2024-01-10T00:00:00"/>
    <n v="1"/>
  </r>
  <r>
    <s v="U966"/>
    <x v="341"/>
    <s v="2024-01-10 13:45"/>
    <x v="0"/>
    <s v="P125"/>
    <x v="0"/>
    <s v="Tablet"/>
    <x v="2"/>
    <n v="0"/>
    <d v="2024-01-10T00:00:00"/>
    <n v="1"/>
  </r>
  <r>
    <s v="U967"/>
    <x v="342"/>
    <s v="2024-01-06 02:34"/>
    <x v="0"/>
    <s v="P511"/>
    <x v="3"/>
    <s v="Desktop"/>
    <x v="0"/>
    <n v="0"/>
    <d v="2024-01-06T00:00:00"/>
    <n v="1"/>
  </r>
  <r>
    <s v="U536"/>
    <x v="343"/>
    <s v="2024-01-02 03:41"/>
    <x v="2"/>
    <s v="P760"/>
    <x v="4"/>
    <s v="Desktop"/>
    <x v="4"/>
    <n v="3797"/>
    <d v="2024-01-02T00:00:00"/>
    <n v="1"/>
  </r>
  <r>
    <s v="U797"/>
    <x v="344"/>
    <s v="2024-01-30 07:12"/>
    <x v="1"/>
    <s v="P823"/>
    <x v="1"/>
    <s v="Desktop"/>
    <x v="0"/>
    <n v="0"/>
    <d v="2024-01-30T00:00:00"/>
    <n v="1"/>
  </r>
  <r>
    <s v="U440"/>
    <x v="345"/>
    <s v="2024-01-10 09:01"/>
    <x v="0"/>
    <s v="P153"/>
    <x v="4"/>
    <s v="Tablet"/>
    <x v="3"/>
    <n v="0"/>
    <d v="2024-01-10T00:00:00"/>
    <n v="1"/>
  </r>
  <r>
    <s v="U470"/>
    <x v="346"/>
    <s v="2024-01-21 09:26"/>
    <x v="0"/>
    <s v="P414"/>
    <x v="4"/>
    <s v="Mobile"/>
    <x v="1"/>
    <n v="0"/>
    <d v="2024-01-21T00:00:00"/>
    <n v="1"/>
  </r>
  <r>
    <s v="U271"/>
    <x v="347"/>
    <s v="2024-01-24 00:52"/>
    <x v="0"/>
    <s v="P687"/>
    <x v="4"/>
    <s v="Tablet"/>
    <x v="0"/>
    <n v="0"/>
    <d v="2024-01-24T00:00:00"/>
    <n v="1"/>
  </r>
  <r>
    <s v="U840"/>
    <x v="348"/>
    <s v="2024-02-01 05:02"/>
    <x v="1"/>
    <s v="P217"/>
    <x v="3"/>
    <s v="Tablet"/>
    <x v="0"/>
    <n v="0"/>
    <d v="2024-02-01T00:00:00"/>
    <n v="2"/>
  </r>
  <r>
    <s v="U981"/>
    <x v="349"/>
    <s v="2024-01-14 09:20"/>
    <x v="1"/>
    <s v="P871"/>
    <x v="3"/>
    <s v="Mobile"/>
    <x v="2"/>
    <n v="0"/>
    <d v="2024-01-14T00:00:00"/>
    <n v="1"/>
  </r>
  <r>
    <s v="U969"/>
    <x v="350"/>
    <s v="2024-01-12 21:30"/>
    <x v="0"/>
    <s v="P822"/>
    <x v="4"/>
    <s v="Mobile"/>
    <x v="1"/>
    <n v="0"/>
    <d v="2024-01-12T00:00:00"/>
    <n v="1"/>
  </r>
  <r>
    <s v="U267"/>
    <x v="351"/>
    <s v="2024-01-22 19:09"/>
    <x v="0"/>
    <s v="P781"/>
    <x v="3"/>
    <s v="Mobile"/>
    <x v="1"/>
    <n v="0"/>
    <d v="2024-01-22T00:00:00"/>
    <n v="1"/>
  </r>
  <r>
    <s v="U947"/>
    <x v="352"/>
    <s v="2024-01-22 03:05"/>
    <x v="2"/>
    <s v="P601"/>
    <x v="1"/>
    <s v="Desktop"/>
    <x v="1"/>
    <n v="914"/>
    <d v="2024-01-22T00:00:00"/>
    <n v="1"/>
  </r>
  <r>
    <s v="U954"/>
    <x v="353"/>
    <s v="2024-02-01 02:17"/>
    <x v="1"/>
    <s v="P551"/>
    <x v="2"/>
    <s v="Desktop"/>
    <x v="0"/>
    <n v="0"/>
    <d v="2024-02-01T00:00:00"/>
    <n v="2"/>
  </r>
  <r>
    <s v="U641"/>
    <x v="354"/>
    <s v="2024-01-13 05:43"/>
    <x v="2"/>
    <s v="P405"/>
    <x v="3"/>
    <s v="Tablet"/>
    <x v="3"/>
    <n v="3483"/>
    <d v="2024-01-13T00:00:00"/>
    <n v="1"/>
  </r>
  <r>
    <s v="U128"/>
    <x v="355"/>
    <s v="2024-01-06 09:19"/>
    <x v="2"/>
    <s v="P101"/>
    <x v="2"/>
    <s v="Mobile"/>
    <x v="4"/>
    <n v="3317"/>
    <d v="2024-01-06T00:00:00"/>
    <n v="1"/>
  </r>
  <r>
    <s v="U961"/>
    <x v="356"/>
    <s v="2024-01-12 01:55"/>
    <x v="0"/>
    <s v="P544"/>
    <x v="2"/>
    <s v="Tablet"/>
    <x v="0"/>
    <n v="0"/>
    <d v="2024-01-12T00:00:00"/>
    <n v="1"/>
  </r>
  <r>
    <s v="U598"/>
    <x v="357"/>
    <s v="2024-01-15 10:34"/>
    <x v="0"/>
    <s v="P452"/>
    <x v="1"/>
    <s v="Desktop"/>
    <x v="2"/>
    <n v="0"/>
    <d v="2024-01-15T00:00:00"/>
    <n v="1"/>
  </r>
  <r>
    <s v="U830"/>
    <x v="358"/>
    <s v="2024-01-29 02:33"/>
    <x v="1"/>
    <s v="P612"/>
    <x v="4"/>
    <s v="Tablet"/>
    <x v="2"/>
    <n v="0"/>
    <d v="2024-01-29T00:00:00"/>
    <n v="1"/>
  </r>
  <r>
    <s v="U576"/>
    <x v="359"/>
    <s v="2024-01-04 16:10"/>
    <x v="2"/>
    <s v="P107"/>
    <x v="0"/>
    <s v="Tablet"/>
    <x v="4"/>
    <n v="4868"/>
    <d v="2024-01-04T00:00:00"/>
    <n v="1"/>
  </r>
  <r>
    <s v="U319"/>
    <x v="360"/>
    <s v="2024-01-14 09:08"/>
    <x v="2"/>
    <s v="P938"/>
    <x v="2"/>
    <s v="Tablet"/>
    <x v="1"/>
    <n v="1817"/>
    <d v="2024-01-14T00:00:00"/>
    <n v="1"/>
  </r>
  <r>
    <s v="U537"/>
    <x v="361"/>
    <s v="2024-01-06 07:57"/>
    <x v="2"/>
    <s v="P221"/>
    <x v="1"/>
    <s v="Tablet"/>
    <x v="3"/>
    <n v="4997"/>
    <d v="2024-01-06T00:00:00"/>
    <n v="1"/>
  </r>
  <r>
    <s v="U381"/>
    <x v="362"/>
    <s v="2024-01-30 01:13"/>
    <x v="2"/>
    <s v="P488"/>
    <x v="3"/>
    <s v="Desktop"/>
    <x v="3"/>
    <n v="4928"/>
    <d v="2024-01-30T00:00:00"/>
    <n v="1"/>
  </r>
  <r>
    <s v="U417"/>
    <x v="363"/>
    <s v="2024-01-03 18:10"/>
    <x v="1"/>
    <s v="P318"/>
    <x v="3"/>
    <s v="Tablet"/>
    <x v="1"/>
    <n v="0"/>
    <d v="2024-01-03T00:00:00"/>
    <n v="1"/>
  </r>
  <r>
    <s v="U206"/>
    <x v="364"/>
    <s v="2024-01-11 14:31"/>
    <x v="0"/>
    <s v="P754"/>
    <x v="1"/>
    <s v="Tablet"/>
    <x v="1"/>
    <n v="0"/>
    <d v="2024-01-11T00:00:00"/>
    <n v="1"/>
  </r>
  <r>
    <s v="U762"/>
    <x v="365"/>
    <s v="2024-01-17 01:12"/>
    <x v="1"/>
    <s v="P562"/>
    <x v="0"/>
    <s v="Desktop"/>
    <x v="3"/>
    <n v="0"/>
    <d v="2024-01-17T00:00:00"/>
    <n v="1"/>
  </r>
  <r>
    <s v="U137"/>
    <x v="366"/>
    <s v="2024-01-06 17:51"/>
    <x v="2"/>
    <s v="P822"/>
    <x v="3"/>
    <s v="Mobile"/>
    <x v="1"/>
    <n v="3073"/>
    <d v="2024-01-06T00:00:00"/>
    <n v="1"/>
  </r>
  <r>
    <s v="U181"/>
    <x v="367"/>
    <s v="2024-01-23 16:50"/>
    <x v="1"/>
    <s v="P966"/>
    <x v="0"/>
    <s v="Desktop"/>
    <x v="2"/>
    <n v="0"/>
    <d v="2024-01-23T00:00:00"/>
    <n v="1"/>
  </r>
  <r>
    <s v="U744"/>
    <x v="368"/>
    <s v="2024-01-27 20:12"/>
    <x v="2"/>
    <s v="P603"/>
    <x v="0"/>
    <s v="Mobile"/>
    <x v="0"/>
    <n v="4299"/>
    <d v="2024-01-27T00:00:00"/>
    <n v="1"/>
  </r>
  <r>
    <s v="U580"/>
    <x v="369"/>
    <s v="2024-01-24 01:09"/>
    <x v="0"/>
    <s v="P135"/>
    <x v="4"/>
    <s v="Tablet"/>
    <x v="0"/>
    <n v="0"/>
    <d v="2024-01-24T00:00:00"/>
    <n v="1"/>
  </r>
  <r>
    <s v="U797"/>
    <x v="370"/>
    <s v="2024-01-27 01:06"/>
    <x v="1"/>
    <s v="P722"/>
    <x v="3"/>
    <s v="Tablet"/>
    <x v="4"/>
    <n v="0"/>
    <d v="2024-01-27T00:00:00"/>
    <n v="1"/>
  </r>
  <r>
    <s v="U156"/>
    <x v="371"/>
    <s v="2024-01-04 17:42"/>
    <x v="1"/>
    <s v="P161"/>
    <x v="0"/>
    <s v="Mobile"/>
    <x v="0"/>
    <n v="0"/>
    <d v="2024-01-04T00:00:00"/>
    <n v="1"/>
  </r>
  <r>
    <s v="U236"/>
    <x v="372"/>
    <s v="2024-02-02 03:43"/>
    <x v="1"/>
    <s v="P773"/>
    <x v="0"/>
    <s v="Mobile"/>
    <x v="2"/>
    <n v="0"/>
    <d v="2024-02-02T00:00:00"/>
    <n v="2"/>
  </r>
  <r>
    <s v="U193"/>
    <x v="373"/>
    <s v="2024-01-07 05:21"/>
    <x v="0"/>
    <s v="P953"/>
    <x v="3"/>
    <s v="Tablet"/>
    <x v="0"/>
    <n v="0"/>
    <d v="2024-01-07T00:00:00"/>
    <n v="1"/>
  </r>
  <r>
    <s v="U836"/>
    <x v="374"/>
    <s v="2024-02-04 06:53"/>
    <x v="0"/>
    <s v="P521"/>
    <x v="1"/>
    <s v="Mobile"/>
    <x v="4"/>
    <n v="0"/>
    <d v="2024-02-04T00:00:00"/>
    <n v="2"/>
  </r>
  <r>
    <s v="U354"/>
    <x v="375"/>
    <s v="2024-01-30 18:11"/>
    <x v="1"/>
    <s v="P873"/>
    <x v="0"/>
    <s v="Mobile"/>
    <x v="4"/>
    <n v="0"/>
    <d v="2024-01-30T00:00:00"/>
    <n v="1"/>
  </r>
  <r>
    <s v="U507"/>
    <x v="376"/>
    <s v="2024-01-04 06:32"/>
    <x v="2"/>
    <s v="P630"/>
    <x v="2"/>
    <s v="Desktop"/>
    <x v="1"/>
    <n v="3128"/>
    <d v="2024-01-04T00:00:00"/>
    <n v="1"/>
  </r>
  <r>
    <s v="U930"/>
    <x v="377"/>
    <s v="2024-01-07 18:29"/>
    <x v="1"/>
    <s v="P689"/>
    <x v="3"/>
    <s v="Mobile"/>
    <x v="4"/>
    <n v="0"/>
    <d v="2024-01-07T00:00:00"/>
    <n v="1"/>
  </r>
  <r>
    <s v="U994"/>
    <x v="378"/>
    <s v="2024-01-05 20:18"/>
    <x v="2"/>
    <s v="P535"/>
    <x v="4"/>
    <s v="Desktop"/>
    <x v="1"/>
    <n v="3758"/>
    <d v="2024-01-05T00:00:00"/>
    <n v="1"/>
  </r>
  <r>
    <s v="U527"/>
    <x v="379"/>
    <s v="2024-01-20 10:35"/>
    <x v="2"/>
    <s v="P754"/>
    <x v="0"/>
    <s v="Desktop"/>
    <x v="4"/>
    <n v="3718"/>
    <d v="2024-01-20T00:00:00"/>
    <n v="1"/>
  </r>
  <r>
    <s v="U677"/>
    <x v="380"/>
    <s v="2024-01-23 16:23"/>
    <x v="2"/>
    <s v="P546"/>
    <x v="0"/>
    <s v="Tablet"/>
    <x v="3"/>
    <n v="2659"/>
    <d v="2024-01-23T00:00:00"/>
    <n v="1"/>
  </r>
  <r>
    <s v="U196"/>
    <x v="381"/>
    <s v="2024-01-27 06:42"/>
    <x v="0"/>
    <s v="P893"/>
    <x v="1"/>
    <s v="Tablet"/>
    <x v="3"/>
    <n v="0"/>
    <d v="2024-01-27T00:00:00"/>
    <n v="1"/>
  </r>
  <r>
    <s v="U176"/>
    <x v="382"/>
    <s v="2024-01-28 19:23"/>
    <x v="1"/>
    <s v="P527"/>
    <x v="1"/>
    <s v="Desktop"/>
    <x v="3"/>
    <n v="0"/>
    <d v="2024-01-28T00:00:00"/>
    <n v="1"/>
  </r>
  <r>
    <s v="U121"/>
    <x v="383"/>
    <s v="2024-01-16 21:14"/>
    <x v="0"/>
    <s v="P882"/>
    <x v="1"/>
    <s v="Desktop"/>
    <x v="3"/>
    <n v="0"/>
    <d v="2024-01-16T00:00:00"/>
    <n v="1"/>
  </r>
  <r>
    <s v="U248"/>
    <x v="384"/>
    <s v="2024-01-26 22:20"/>
    <x v="0"/>
    <s v="P492"/>
    <x v="2"/>
    <s v="Tablet"/>
    <x v="3"/>
    <n v="0"/>
    <d v="2024-01-26T00:00:00"/>
    <n v="1"/>
  </r>
  <r>
    <s v="U963"/>
    <x v="385"/>
    <s v="2024-01-01 21:08"/>
    <x v="0"/>
    <s v="P657"/>
    <x v="0"/>
    <s v="Mobile"/>
    <x v="3"/>
    <n v="0"/>
    <d v="2024-01-01T00:00:00"/>
    <n v="1"/>
  </r>
  <r>
    <s v="U177"/>
    <x v="386"/>
    <s v="2024-01-13 21:17"/>
    <x v="0"/>
    <s v="P964"/>
    <x v="3"/>
    <s v="Mobile"/>
    <x v="0"/>
    <n v="0"/>
    <d v="2024-01-13T00:00:00"/>
    <n v="1"/>
  </r>
  <r>
    <s v="U337"/>
    <x v="387"/>
    <s v="2024-01-13 10:24"/>
    <x v="2"/>
    <s v="P652"/>
    <x v="0"/>
    <s v="Desktop"/>
    <x v="0"/>
    <n v="1633"/>
    <d v="2024-01-13T00:00:00"/>
    <n v="1"/>
  </r>
  <r>
    <s v="U419"/>
    <x v="388"/>
    <s v="2024-02-01 10:40"/>
    <x v="1"/>
    <s v="P297"/>
    <x v="4"/>
    <s v="Tablet"/>
    <x v="3"/>
    <n v="0"/>
    <d v="2024-02-01T00:00:00"/>
    <n v="2"/>
  </r>
  <r>
    <s v="U581"/>
    <x v="389"/>
    <s v="2024-01-08 21:17"/>
    <x v="0"/>
    <s v="P672"/>
    <x v="4"/>
    <s v="Tablet"/>
    <x v="2"/>
    <n v="0"/>
    <d v="2024-01-08T00:00:00"/>
    <n v="1"/>
  </r>
  <r>
    <s v="U998"/>
    <x v="390"/>
    <s v="2024-01-06 04:52"/>
    <x v="0"/>
    <s v="P225"/>
    <x v="0"/>
    <s v="Desktop"/>
    <x v="0"/>
    <n v="0"/>
    <d v="2024-01-06T00:00:00"/>
    <n v="1"/>
  </r>
  <r>
    <s v="U853"/>
    <x v="391"/>
    <s v="2024-01-15 02:57"/>
    <x v="2"/>
    <s v="P215"/>
    <x v="1"/>
    <s v="Desktop"/>
    <x v="0"/>
    <n v="4667"/>
    <d v="2024-01-15T00:00:00"/>
    <n v="1"/>
  </r>
  <r>
    <s v="U389"/>
    <x v="392"/>
    <s v="2024-01-03 13:24"/>
    <x v="0"/>
    <s v="P545"/>
    <x v="0"/>
    <s v="Mobile"/>
    <x v="3"/>
    <n v="0"/>
    <d v="2024-01-03T00:00:00"/>
    <n v="1"/>
  </r>
  <r>
    <s v="U415"/>
    <x v="393"/>
    <s v="2024-01-20 09:03"/>
    <x v="1"/>
    <s v="P663"/>
    <x v="4"/>
    <s v="Tablet"/>
    <x v="2"/>
    <n v="0"/>
    <d v="2024-01-20T00:00:00"/>
    <n v="1"/>
  </r>
  <r>
    <s v="U142"/>
    <x v="394"/>
    <s v="2024-01-15 08:12"/>
    <x v="2"/>
    <s v="P750"/>
    <x v="2"/>
    <s v="Mobile"/>
    <x v="4"/>
    <n v="3586"/>
    <d v="2024-01-15T00:00:00"/>
    <n v="1"/>
  </r>
  <r>
    <s v="U276"/>
    <x v="395"/>
    <s v="2024-01-25 01:34"/>
    <x v="1"/>
    <s v="P447"/>
    <x v="2"/>
    <s v="Desktop"/>
    <x v="2"/>
    <n v="0"/>
    <d v="2024-01-25T00:00:00"/>
    <n v="1"/>
  </r>
  <r>
    <s v="U695"/>
    <x v="396"/>
    <s v="2024-02-01 01:50"/>
    <x v="0"/>
    <s v="P771"/>
    <x v="2"/>
    <s v="Mobile"/>
    <x v="1"/>
    <n v="0"/>
    <d v="2024-02-01T00:00:00"/>
    <n v="2"/>
  </r>
  <r>
    <s v="U365"/>
    <x v="397"/>
    <s v="2024-01-31 03:28"/>
    <x v="2"/>
    <s v="P651"/>
    <x v="4"/>
    <s v="Desktop"/>
    <x v="4"/>
    <n v="3791"/>
    <d v="2024-01-31T00:00:00"/>
    <n v="1"/>
  </r>
  <r>
    <s v="U523"/>
    <x v="398"/>
    <s v="2024-01-05 09:29"/>
    <x v="1"/>
    <s v="P243"/>
    <x v="3"/>
    <s v="Tablet"/>
    <x v="4"/>
    <n v="0"/>
    <d v="2024-01-05T00:00:00"/>
    <n v="1"/>
  </r>
  <r>
    <s v="U357"/>
    <x v="399"/>
    <s v="2024-01-06 20:57"/>
    <x v="2"/>
    <s v="P349"/>
    <x v="0"/>
    <s v="Desktop"/>
    <x v="2"/>
    <n v="4040"/>
    <d v="2024-01-06T00:00:00"/>
    <n v="1"/>
  </r>
  <r>
    <s v="U478"/>
    <x v="400"/>
    <s v="2024-01-12 04:17"/>
    <x v="1"/>
    <s v="P360"/>
    <x v="1"/>
    <s v="Mobile"/>
    <x v="0"/>
    <n v="0"/>
    <d v="2024-01-12T00:00:00"/>
    <n v="1"/>
  </r>
  <r>
    <s v="U167"/>
    <x v="401"/>
    <s v="2024-01-31 02:28"/>
    <x v="0"/>
    <s v="P669"/>
    <x v="2"/>
    <s v="Mobile"/>
    <x v="3"/>
    <n v="0"/>
    <d v="2024-01-31T00:00:00"/>
    <n v="1"/>
  </r>
  <r>
    <s v="U327"/>
    <x v="402"/>
    <s v="2024-02-03 03:43"/>
    <x v="1"/>
    <s v="P444"/>
    <x v="1"/>
    <s v="Mobile"/>
    <x v="0"/>
    <n v="0"/>
    <d v="2024-02-03T00:00:00"/>
    <n v="2"/>
  </r>
  <r>
    <s v="U435"/>
    <x v="403"/>
    <s v="2024-01-25 01:37"/>
    <x v="1"/>
    <s v="P379"/>
    <x v="4"/>
    <s v="Desktop"/>
    <x v="0"/>
    <n v="0"/>
    <d v="2024-01-25T00:00:00"/>
    <n v="1"/>
  </r>
  <r>
    <s v="U344"/>
    <x v="404"/>
    <s v="2024-01-21 23:48"/>
    <x v="0"/>
    <s v="P367"/>
    <x v="4"/>
    <s v="Tablet"/>
    <x v="4"/>
    <n v="0"/>
    <d v="2024-01-21T00:00:00"/>
    <n v="1"/>
  </r>
  <r>
    <s v="U761"/>
    <x v="405"/>
    <s v="2024-02-02 07:30"/>
    <x v="2"/>
    <s v="P968"/>
    <x v="0"/>
    <s v="Mobile"/>
    <x v="1"/>
    <n v="534"/>
    <d v="2024-02-02T00:00:00"/>
    <n v="2"/>
  </r>
  <r>
    <s v="U674"/>
    <x v="406"/>
    <s v="2024-01-02 23:05"/>
    <x v="0"/>
    <s v="P558"/>
    <x v="2"/>
    <s v="Desktop"/>
    <x v="0"/>
    <n v="0"/>
    <d v="2024-01-02T00:00:00"/>
    <n v="1"/>
  </r>
  <r>
    <s v="U249"/>
    <x v="407"/>
    <s v="2024-02-01 23:12"/>
    <x v="1"/>
    <s v="P560"/>
    <x v="4"/>
    <s v="Tablet"/>
    <x v="1"/>
    <n v="0"/>
    <d v="2024-02-01T00:00:00"/>
    <n v="2"/>
  </r>
  <r>
    <s v="U827"/>
    <x v="408"/>
    <s v="2024-01-27 14:05"/>
    <x v="1"/>
    <s v="P437"/>
    <x v="3"/>
    <s v="Mobile"/>
    <x v="2"/>
    <n v="0"/>
    <d v="2024-01-27T00:00:00"/>
    <n v="1"/>
  </r>
  <r>
    <s v="U572"/>
    <x v="409"/>
    <s v="2024-01-04 22:10"/>
    <x v="0"/>
    <s v="P360"/>
    <x v="2"/>
    <s v="Tablet"/>
    <x v="0"/>
    <n v="0"/>
    <d v="2024-01-04T00:00:00"/>
    <n v="1"/>
  </r>
  <r>
    <s v="U607"/>
    <x v="410"/>
    <s v="2024-01-26 18:37"/>
    <x v="2"/>
    <s v="P235"/>
    <x v="4"/>
    <s v="Tablet"/>
    <x v="1"/>
    <n v="2911"/>
    <d v="2024-01-26T00:00:00"/>
    <n v="1"/>
  </r>
  <r>
    <s v="U614"/>
    <x v="411"/>
    <s v="2024-01-17 13:23"/>
    <x v="1"/>
    <s v="P679"/>
    <x v="1"/>
    <s v="Desktop"/>
    <x v="2"/>
    <n v="0"/>
    <d v="2024-01-17T00:00:00"/>
    <n v="1"/>
  </r>
  <r>
    <s v="U207"/>
    <x v="412"/>
    <s v="2024-01-06 20:42"/>
    <x v="0"/>
    <s v="P370"/>
    <x v="1"/>
    <s v="Tablet"/>
    <x v="4"/>
    <n v="0"/>
    <d v="2024-01-06T00:00:00"/>
    <n v="1"/>
  </r>
  <r>
    <s v="U378"/>
    <x v="413"/>
    <s v="2024-01-22 18:40"/>
    <x v="0"/>
    <s v="P455"/>
    <x v="1"/>
    <s v="Tablet"/>
    <x v="2"/>
    <n v="0"/>
    <d v="2024-01-22T00:00:00"/>
    <n v="1"/>
  </r>
  <r>
    <s v="U953"/>
    <x v="414"/>
    <s v="2024-01-13 09:34"/>
    <x v="0"/>
    <s v="P481"/>
    <x v="3"/>
    <s v="Desktop"/>
    <x v="4"/>
    <n v="0"/>
    <d v="2024-01-13T00:00:00"/>
    <n v="1"/>
  </r>
  <r>
    <s v="U450"/>
    <x v="415"/>
    <s v="2024-01-13 07:18"/>
    <x v="0"/>
    <s v="P391"/>
    <x v="4"/>
    <s v="Desktop"/>
    <x v="1"/>
    <n v="0"/>
    <d v="2024-01-13T00:00:00"/>
    <n v="1"/>
  </r>
  <r>
    <s v="U733"/>
    <x v="416"/>
    <s v="2024-01-04 20:49"/>
    <x v="1"/>
    <s v="P336"/>
    <x v="3"/>
    <s v="Tablet"/>
    <x v="0"/>
    <n v="0"/>
    <d v="2024-01-04T00:00:00"/>
    <n v="1"/>
  </r>
  <r>
    <s v="U944"/>
    <x v="417"/>
    <s v="2024-01-20 15:06"/>
    <x v="0"/>
    <s v="P337"/>
    <x v="2"/>
    <s v="Tablet"/>
    <x v="1"/>
    <n v="0"/>
    <d v="2024-01-20T00:00:00"/>
    <n v="1"/>
  </r>
  <r>
    <s v="U961"/>
    <x v="418"/>
    <s v="2024-01-02 00:20"/>
    <x v="1"/>
    <s v="P799"/>
    <x v="0"/>
    <s v="Tablet"/>
    <x v="2"/>
    <n v="0"/>
    <d v="2024-01-02T00:00:00"/>
    <n v="1"/>
  </r>
  <r>
    <s v="U291"/>
    <x v="419"/>
    <s v="2024-02-03 20:58"/>
    <x v="1"/>
    <s v="P383"/>
    <x v="2"/>
    <s v="Tablet"/>
    <x v="4"/>
    <n v="0"/>
    <d v="2024-02-03T00:00:00"/>
    <n v="2"/>
  </r>
  <r>
    <s v="U935"/>
    <x v="420"/>
    <s v="2024-01-08 17:35"/>
    <x v="1"/>
    <s v="P557"/>
    <x v="0"/>
    <s v="Mobile"/>
    <x v="0"/>
    <n v="0"/>
    <d v="2024-01-08T00:00:00"/>
    <n v="1"/>
  </r>
  <r>
    <s v="U889"/>
    <x v="421"/>
    <s v="2024-01-03 23:21"/>
    <x v="1"/>
    <s v="P619"/>
    <x v="4"/>
    <s v="Tablet"/>
    <x v="3"/>
    <n v="0"/>
    <d v="2024-01-03T00:00:00"/>
    <n v="1"/>
  </r>
  <r>
    <s v="U844"/>
    <x v="422"/>
    <s v="2024-02-01 08:29"/>
    <x v="1"/>
    <s v="P468"/>
    <x v="0"/>
    <s v="Mobile"/>
    <x v="2"/>
    <n v="0"/>
    <d v="2024-02-01T00:00:00"/>
    <n v="2"/>
  </r>
  <r>
    <s v="U831"/>
    <x v="423"/>
    <s v="2024-02-04 08:45"/>
    <x v="2"/>
    <s v="P647"/>
    <x v="0"/>
    <s v="Desktop"/>
    <x v="0"/>
    <n v="2611"/>
    <d v="2024-02-04T00:00:00"/>
    <n v="2"/>
  </r>
  <r>
    <s v="U321"/>
    <x v="424"/>
    <s v="2024-01-13 22:12"/>
    <x v="0"/>
    <s v="P273"/>
    <x v="0"/>
    <s v="Tablet"/>
    <x v="1"/>
    <n v="0"/>
    <d v="2024-01-13T00:00:00"/>
    <n v="1"/>
  </r>
  <r>
    <s v="U790"/>
    <x v="425"/>
    <s v="2024-01-29 10:19"/>
    <x v="0"/>
    <s v="P173"/>
    <x v="0"/>
    <s v="Desktop"/>
    <x v="1"/>
    <n v="0"/>
    <d v="2024-01-29T00:00:00"/>
    <n v="1"/>
  </r>
  <r>
    <s v="U992"/>
    <x v="426"/>
    <s v="2024-01-27 07:28"/>
    <x v="2"/>
    <s v="P475"/>
    <x v="1"/>
    <s v="Tablet"/>
    <x v="4"/>
    <n v="1996"/>
    <d v="2024-01-27T00:00:00"/>
    <n v="1"/>
  </r>
  <r>
    <s v="U644"/>
    <x v="427"/>
    <s v="2024-01-09 13:23"/>
    <x v="2"/>
    <s v="P180"/>
    <x v="3"/>
    <s v="Mobile"/>
    <x v="4"/>
    <n v="2110"/>
    <d v="2024-01-09T00:00:00"/>
    <n v="1"/>
  </r>
  <r>
    <s v="U923"/>
    <x v="428"/>
    <s v="2024-01-25 11:07"/>
    <x v="1"/>
    <s v="P140"/>
    <x v="3"/>
    <s v="Mobile"/>
    <x v="2"/>
    <n v="0"/>
    <d v="2024-01-25T00:00:00"/>
    <n v="1"/>
  </r>
  <r>
    <s v="U286"/>
    <x v="328"/>
    <s v="2024-01-25 20:09"/>
    <x v="1"/>
    <s v="P657"/>
    <x v="1"/>
    <s v="Tablet"/>
    <x v="0"/>
    <n v="0"/>
    <d v="2024-01-25T00:00:00"/>
    <n v="1"/>
  </r>
  <r>
    <s v="U972"/>
    <x v="429"/>
    <s v="2024-01-09 07:38"/>
    <x v="1"/>
    <s v="P415"/>
    <x v="3"/>
    <s v="Mobile"/>
    <x v="3"/>
    <n v="0"/>
    <d v="2024-01-09T00:00:00"/>
    <n v="1"/>
  </r>
  <r>
    <s v="U595"/>
    <x v="430"/>
    <s v="2024-01-10 01:52"/>
    <x v="1"/>
    <s v="P971"/>
    <x v="4"/>
    <s v="Mobile"/>
    <x v="0"/>
    <n v="0"/>
    <d v="2024-01-10T00:00:00"/>
    <n v="1"/>
  </r>
  <r>
    <s v="U814"/>
    <x v="431"/>
    <s v="2024-01-23 15:05"/>
    <x v="0"/>
    <s v="P836"/>
    <x v="2"/>
    <s v="Desktop"/>
    <x v="3"/>
    <n v="0"/>
    <d v="2024-01-23T00:00:00"/>
    <n v="1"/>
  </r>
  <r>
    <s v="U892"/>
    <x v="432"/>
    <s v="2024-01-30 16:43"/>
    <x v="0"/>
    <s v="P814"/>
    <x v="4"/>
    <s v="Tablet"/>
    <x v="1"/>
    <n v="0"/>
    <d v="2024-01-30T00:00:00"/>
    <n v="1"/>
  </r>
  <r>
    <s v="U998"/>
    <x v="433"/>
    <s v="2024-01-07 23:21"/>
    <x v="1"/>
    <s v="P759"/>
    <x v="4"/>
    <s v="Tablet"/>
    <x v="0"/>
    <n v="0"/>
    <d v="2024-01-07T00:00:00"/>
    <n v="1"/>
  </r>
  <r>
    <s v="U192"/>
    <x v="434"/>
    <s v="2024-02-02 22:22"/>
    <x v="2"/>
    <s v="P452"/>
    <x v="0"/>
    <s v="Desktop"/>
    <x v="1"/>
    <n v="4100"/>
    <d v="2024-02-02T00:00:00"/>
    <n v="2"/>
  </r>
  <r>
    <s v="U214"/>
    <x v="435"/>
    <s v="2024-01-28 21:37"/>
    <x v="2"/>
    <s v="P496"/>
    <x v="3"/>
    <s v="Desktop"/>
    <x v="2"/>
    <n v="1857"/>
    <d v="2024-01-28T00:00:00"/>
    <n v="1"/>
  </r>
  <r>
    <s v="U739"/>
    <x v="436"/>
    <s v="2024-01-30 21:28"/>
    <x v="1"/>
    <s v="P435"/>
    <x v="2"/>
    <s v="Desktop"/>
    <x v="4"/>
    <n v="0"/>
    <d v="2024-01-30T00:00:00"/>
    <n v="1"/>
  </r>
  <r>
    <s v="U781"/>
    <x v="437"/>
    <s v="2024-01-18 23:09"/>
    <x v="0"/>
    <s v="P690"/>
    <x v="3"/>
    <s v="Mobile"/>
    <x v="1"/>
    <n v="0"/>
    <d v="2024-01-18T00:00:00"/>
    <n v="1"/>
  </r>
  <r>
    <s v="U446"/>
    <x v="438"/>
    <s v="2024-01-21 11:12"/>
    <x v="0"/>
    <s v="P828"/>
    <x v="0"/>
    <s v="Mobile"/>
    <x v="0"/>
    <n v="0"/>
    <d v="2024-01-21T00:00:00"/>
    <n v="1"/>
  </r>
  <r>
    <s v="U588"/>
    <x v="439"/>
    <s v="2024-01-03 12:38"/>
    <x v="0"/>
    <s v="P905"/>
    <x v="4"/>
    <s v="Desktop"/>
    <x v="0"/>
    <n v="0"/>
    <d v="2024-01-03T00:00:00"/>
    <n v="1"/>
  </r>
  <r>
    <s v="U117"/>
    <x v="440"/>
    <s v="2024-01-16 15:30"/>
    <x v="1"/>
    <s v="P326"/>
    <x v="1"/>
    <s v="Mobile"/>
    <x v="4"/>
    <n v="0"/>
    <d v="2024-01-16T00:00:00"/>
    <n v="1"/>
  </r>
  <r>
    <s v="U300"/>
    <x v="441"/>
    <s v="2024-01-01 10:31"/>
    <x v="0"/>
    <s v="P861"/>
    <x v="1"/>
    <s v="Mobile"/>
    <x v="0"/>
    <n v="0"/>
    <d v="2024-01-01T00:00:00"/>
    <n v="1"/>
  </r>
  <r>
    <s v="U421"/>
    <x v="442"/>
    <s v="2024-01-03 01:34"/>
    <x v="0"/>
    <s v="P592"/>
    <x v="0"/>
    <s v="Desktop"/>
    <x v="2"/>
    <n v="0"/>
    <d v="2024-01-03T00:00:00"/>
    <n v="1"/>
  </r>
  <r>
    <s v="U428"/>
    <x v="443"/>
    <s v="2024-01-26 14:47"/>
    <x v="0"/>
    <s v="P252"/>
    <x v="0"/>
    <s v="Tablet"/>
    <x v="0"/>
    <n v="0"/>
    <d v="2024-01-26T00:00:00"/>
    <n v="1"/>
  </r>
  <r>
    <s v="U827"/>
    <x v="444"/>
    <s v="2024-01-21 10:35"/>
    <x v="1"/>
    <s v="P693"/>
    <x v="3"/>
    <s v="Desktop"/>
    <x v="1"/>
    <n v="0"/>
    <d v="2024-01-21T00:00:00"/>
    <n v="1"/>
  </r>
  <r>
    <s v="U370"/>
    <x v="445"/>
    <s v="2024-01-22 03:57"/>
    <x v="1"/>
    <s v="P177"/>
    <x v="3"/>
    <s v="Mobile"/>
    <x v="0"/>
    <n v="0"/>
    <d v="2024-01-22T00:00:00"/>
    <n v="1"/>
  </r>
  <r>
    <s v="U907"/>
    <x v="446"/>
    <s v="2024-01-14 09:51"/>
    <x v="0"/>
    <s v="P612"/>
    <x v="0"/>
    <s v="Mobile"/>
    <x v="3"/>
    <n v="0"/>
    <d v="2024-01-14T00:00:00"/>
    <n v="1"/>
  </r>
  <r>
    <s v="U336"/>
    <x v="447"/>
    <s v="2024-01-03 18:54"/>
    <x v="2"/>
    <s v="P631"/>
    <x v="2"/>
    <s v="Tablet"/>
    <x v="0"/>
    <n v="655"/>
    <d v="2024-01-03T00:00:00"/>
    <n v="1"/>
  </r>
  <r>
    <s v="U291"/>
    <x v="448"/>
    <s v="2024-01-12 09:45"/>
    <x v="2"/>
    <s v="P585"/>
    <x v="4"/>
    <s v="Mobile"/>
    <x v="2"/>
    <n v="1648"/>
    <d v="2024-01-12T00:00:00"/>
    <n v="1"/>
  </r>
  <r>
    <s v="U904"/>
    <x v="449"/>
    <s v="2024-01-20 09:51"/>
    <x v="2"/>
    <s v="P313"/>
    <x v="0"/>
    <s v="Mobile"/>
    <x v="4"/>
    <n v="2997"/>
    <d v="2024-01-20T00:00:00"/>
    <n v="1"/>
  </r>
  <r>
    <s v="U839"/>
    <x v="450"/>
    <s v="2024-01-18 19:10"/>
    <x v="0"/>
    <s v="P357"/>
    <x v="0"/>
    <s v="Mobile"/>
    <x v="0"/>
    <n v="0"/>
    <d v="2024-01-18T00:00:00"/>
    <n v="1"/>
  </r>
  <r>
    <s v="U768"/>
    <x v="451"/>
    <s v="2024-01-26 17:08"/>
    <x v="1"/>
    <s v="P435"/>
    <x v="4"/>
    <s v="Mobile"/>
    <x v="2"/>
    <n v="0"/>
    <d v="2024-01-26T00:00:00"/>
    <n v="1"/>
  </r>
  <r>
    <s v="U983"/>
    <x v="452"/>
    <s v="2024-01-23 13:34"/>
    <x v="2"/>
    <s v="P617"/>
    <x v="2"/>
    <s v="Desktop"/>
    <x v="3"/>
    <n v="836"/>
    <d v="2024-01-23T00:00:00"/>
    <n v="1"/>
  </r>
  <r>
    <s v="U184"/>
    <x v="453"/>
    <s v="2024-01-17 02:56"/>
    <x v="0"/>
    <s v="P650"/>
    <x v="1"/>
    <s v="Mobile"/>
    <x v="3"/>
    <n v="0"/>
    <d v="2024-01-17T00:00:00"/>
    <n v="1"/>
  </r>
  <r>
    <s v="U481"/>
    <x v="454"/>
    <s v="2024-01-30 17:13"/>
    <x v="1"/>
    <s v="P967"/>
    <x v="0"/>
    <s v="Desktop"/>
    <x v="1"/>
    <n v="0"/>
    <d v="2024-01-30T00:00:00"/>
    <n v="1"/>
  </r>
  <r>
    <s v="U914"/>
    <x v="455"/>
    <s v="2024-01-27 17:44"/>
    <x v="0"/>
    <s v="P927"/>
    <x v="3"/>
    <s v="Mobile"/>
    <x v="3"/>
    <n v="0"/>
    <d v="2024-01-27T00:00:00"/>
    <n v="1"/>
  </r>
  <r>
    <s v="U935"/>
    <x v="456"/>
    <s v="2024-01-30 03:42"/>
    <x v="0"/>
    <s v="P170"/>
    <x v="2"/>
    <s v="Tablet"/>
    <x v="0"/>
    <n v="0"/>
    <d v="2024-01-30T00:00:00"/>
    <n v="1"/>
  </r>
  <r>
    <s v="U622"/>
    <x v="457"/>
    <s v="2024-01-28 05:18"/>
    <x v="2"/>
    <s v="P727"/>
    <x v="3"/>
    <s v="Mobile"/>
    <x v="3"/>
    <n v="883"/>
    <d v="2024-01-28T00:00:00"/>
    <n v="1"/>
  </r>
  <r>
    <s v="U891"/>
    <x v="458"/>
    <s v="2024-01-22 03:39"/>
    <x v="0"/>
    <s v="P882"/>
    <x v="1"/>
    <s v="Mobile"/>
    <x v="2"/>
    <n v="0"/>
    <d v="2024-01-22T00:00:00"/>
    <n v="1"/>
  </r>
  <r>
    <s v="U789"/>
    <x v="459"/>
    <s v="2024-01-21 12:12"/>
    <x v="2"/>
    <s v="P557"/>
    <x v="2"/>
    <s v="Tablet"/>
    <x v="2"/>
    <n v="402"/>
    <d v="2024-01-21T00:00:00"/>
    <n v="1"/>
  </r>
  <r>
    <s v="U423"/>
    <x v="460"/>
    <s v="2024-02-01 14:18"/>
    <x v="1"/>
    <s v="P433"/>
    <x v="4"/>
    <s v="Tablet"/>
    <x v="0"/>
    <n v="0"/>
    <d v="2024-02-01T00:00:00"/>
    <n v="2"/>
  </r>
  <r>
    <s v="U284"/>
    <x v="454"/>
    <s v="2024-01-19 09:12"/>
    <x v="2"/>
    <s v="P955"/>
    <x v="1"/>
    <s v="Tablet"/>
    <x v="3"/>
    <n v="2593"/>
    <d v="2024-01-19T00:00:00"/>
    <n v="1"/>
  </r>
  <r>
    <s v="U641"/>
    <x v="461"/>
    <s v="2024-01-19 09:36"/>
    <x v="2"/>
    <s v="P231"/>
    <x v="1"/>
    <s v="Tablet"/>
    <x v="0"/>
    <n v="915"/>
    <d v="2024-01-19T00:00:00"/>
    <n v="1"/>
  </r>
  <r>
    <s v="U848"/>
    <x v="462"/>
    <s v="2024-01-29 09:13"/>
    <x v="1"/>
    <s v="P244"/>
    <x v="1"/>
    <s v="Tablet"/>
    <x v="4"/>
    <n v="0"/>
    <d v="2024-01-29T00:00:00"/>
    <n v="1"/>
  </r>
  <r>
    <s v="U119"/>
    <x v="463"/>
    <s v="2024-01-06 14:32"/>
    <x v="2"/>
    <s v="P661"/>
    <x v="1"/>
    <s v="Desktop"/>
    <x v="0"/>
    <n v="1128"/>
    <d v="2024-01-06T00:00:00"/>
    <n v="1"/>
  </r>
  <r>
    <s v="U358"/>
    <x v="464"/>
    <s v="2024-01-10 08:26"/>
    <x v="1"/>
    <s v="P141"/>
    <x v="0"/>
    <s v="Mobile"/>
    <x v="1"/>
    <n v="0"/>
    <d v="2024-01-10T00:00:00"/>
    <n v="1"/>
  </r>
  <r>
    <s v="U788"/>
    <x v="465"/>
    <s v="2024-01-01 05:29"/>
    <x v="1"/>
    <s v="P400"/>
    <x v="2"/>
    <s v="Mobile"/>
    <x v="0"/>
    <n v="0"/>
    <d v="2024-01-01T00:00:00"/>
    <n v="1"/>
  </r>
  <r>
    <s v="U232"/>
    <x v="466"/>
    <s v="2024-01-24 15:28"/>
    <x v="0"/>
    <s v="P556"/>
    <x v="2"/>
    <s v="Tablet"/>
    <x v="4"/>
    <n v="0"/>
    <d v="2024-01-24T00:00:00"/>
    <n v="1"/>
  </r>
  <r>
    <s v="U446"/>
    <x v="467"/>
    <s v="2024-01-29 10:25"/>
    <x v="1"/>
    <s v="P217"/>
    <x v="4"/>
    <s v="Mobile"/>
    <x v="1"/>
    <n v="0"/>
    <d v="2024-01-29T00:00:00"/>
    <n v="1"/>
  </r>
  <r>
    <s v="U130"/>
    <x v="468"/>
    <s v="2024-01-24 04:38"/>
    <x v="1"/>
    <s v="P364"/>
    <x v="1"/>
    <s v="Desktop"/>
    <x v="3"/>
    <n v="0"/>
    <d v="2024-01-24T00:00:00"/>
    <n v="1"/>
  </r>
  <r>
    <s v="U830"/>
    <x v="469"/>
    <s v="2024-01-14 13:59"/>
    <x v="0"/>
    <s v="P542"/>
    <x v="2"/>
    <s v="Mobile"/>
    <x v="4"/>
    <n v="0"/>
    <d v="2024-01-14T00:00:00"/>
    <n v="1"/>
  </r>
  <r>
    <s v="U140"/>
    <x v="60"/>
    <s v="2024-01-08 11:12"/>
    <x v="0"/>
    <s v="P388"/>
    <x v="3"/>
    <s v="Tablet"/>
    <x v="4"/>
    <n v="0"/>
    <d v="2024-01-08T00:00:00"/>
    <n v="1"/>
  </r>
  <r>
    <s v="U324"/>
    <x v="470"/>
    <s v="2024-01-12 19:03"/>
    <x v="2"/>
    <s v="P870"/>
    <x v="2"/>
    <s v="Tablet"/>
    <x v="2"/>
    <n v="980"/>
    <d v="2024-01-12T00:00:00"/>
    <n v="1"/>
  </r>
  <r>
    <s v="U221"/>
    <x v="471"/>
    <s v="2024-01-22 06:20"/>
    <x v="2"/>
    <s v="P311"/>
    <x v="2"/>
    <s v="Desktop"/>
    <x v="2"/>
    <n v="4507"/>
    <d v="2024-01-22T00:00:00"/>
    <n v="1"/>
  </r>
  <r>
    <s v="U251"/>
    <x v="472"/>
    <s v="2024-02-03 15:37"/>
    <x v="2"/>
    <s v="P351"/>
    <x v="0"/>
    <s v="Mobile"/>
    <x v="1"/>
    <n v="4260"/>
    <d v="2024-02-03T00:00:00"/>
    <n v="2"/>
  </r>
  <r>
    <s v="U104"/>
    <x v="473"/>
    <s v="2024-01-23 18:40"/>
    <x v="2"/>
    <s v="P630"/>
    <x v="1"/>
    <s v="Mobile"/>
    <x v="2"/>
    <n v="891"/>
    <d v="2024-01-23T00:00:00"/>
    <n v="1"/>
  </r>
  <r>
    <s v="U521"/>
    <x v="474"/>
    <s v="2024-01-05 22:36"/>
    <x v="2"/>
    <s v="P598"/>
    <x v="1"/>
    <s v="Desktop"/>
    <x v="1"/>
    <n v="4441"/>
    <d v="2024-01-05T00:00:00"/>
    <n v="1"/>
  </r>
  <r>
    <s v="U505"/>
    <x v="475"/>
    <s v="2024-01-11 06:56"/>
    <x v="1"/>
    <s v="P668"/>
    <x v="0"/>
    <s v="Desktop"/>
    <x v="4"/>
    <n v="0"/>
    <d v="2024-01-11T00:00:00"/>
    <n v="1"/>
  </r>
  <r>
    <s v="U694"/>
    <x v="476"/>
    <s v="2024-02-04 05:37"/>
    <x v="2"/>
    <s v="P163"/>
    <x v="4"/>
    <s v="Desktop"/>
    <x v="4"/>
    <n v="1005"/>
    <d v="2024-02-04T00:00:00"/>
    <n v="2"/>
  </r>
  <r>
    <s v="U936"/>
    <x v="477"/>
    <s v="2024-01-30 04:53"/>
    <x v="0"/>
    <s v="P963"/>
    <x v="4"/>
    <s v="Mobile"/>
    <x v="3"/>
    <n v="0"/>
    <d v="2024-01-30T00:00:00"/>
    <n v="1"/>
  </r>
  <r>
    <s v="U240"/>
    <x v="478"/>
    <s v="2024-01-24 23:34"/>
    <x v="2"/>
    <s v="P285"/>
    <x v="3"/>
    <s v="Tablet"/>
    <x v="0"/>
    <n v="2738"/>
    <d v="2024-01-24T00:00:00"/>
    <n v="1"/>
  </r>
  <r>
    <s v="U710"/>
    <x v="479"/>
    <s v="2024-01-29 03:41"/>
    <x v="2"/>
    <s v="P333"/>
    <x v="1"/>
    <s v="Desktop"/>
    <x v="1"/>
    <n v="2605"/>
    <d v="2024-01-29T00:00:00"/>
    <n v="1"/>
  </r>
  <r>
    <s v="U905"/>
    <x v="480"/>
    <s v="2024-01-24 00:01"/>
    <x v="1"/>
    <s v="P318"/>
    <x v="0"/>
    <s v="Desktop"/>
    <x v="0"/>
    <n v="0"/>
    <d v="2024-01-24T00:00:00"/>
    <n v="1"/>
  </r>
  <r>
    <s v="U480"/>
    <x v="481"/>
    <s v="2024-01-29 17:37"/>
    <x v="1"/>
    <s v="P955"/>
    <x v="0"/>
    <s v="Tablet"/>
    <x v="2"/>
    <n v="0"/>
    <d v="2024-01-29T00:00:00"/>
    <n v="1"/>
  </r>
  <r>
    <s v="U269"/>
    <x v="482"/>
    <s v="2024-01-15 03:06"/>
    <x v="0"/>
    <s v="P388"/>
    <x v="4"/>
    <s v="Tablet"/>
    <x v="2"/>
    <n v="0"/>
    <d v="2024-01-15T00:00:00"/>
    <n v="1"/>
  </r>
  <r>
    <s v="U139"/>
    <x v="483"/>
    <s v="2024-01-20 05:39"/>
    <x v="0"/>
    <s v="P818"/>
    <x v="2"/>
    <s v="Tablet"/>
    <x v="0"/>
    <n v="0"/>
    <d v="2024-01-20T00:00:00"/>
    <n v="1"/>
  </r>
  <r>
    <s v="U348"/>
    <x v="484"/>
    <s v="2024-01-30 17:01"/>
    <x v="1"/>
    <s v="P701"/>
    <x v="3"/>
    <s v="Mobile"/>
    <x v="1"/>
    <n v="0"/>
    <d v="2024-01-30T00:00:00"/>
    <n v="1"/>
  </r>
  <r>
    <s v="U152"/>
    <x v="485"/>
    <s v="2024-01-30 09:37"/>
    <x v="2"/>
    <s v="P450"/>
    <x v="1"/>
    <s v="Tablet"/>
    <x v="0"/>
    <n v="1595"/>
    <d v="2024-01-30T00:00:00"/>
    <n v="1"/>
  </r>
  <r>
    <s v="U189"/>
    <x v="486"/>
    <s v="2024-01-10 18:49"/>
    <x v="1"/>
    <s v="P377"/>
    <x v="1"/>
    <s v="Mobile"/>
    <x v="2"/>
    <n v="0"/>
    <d v="2024-01-10T00:00:00"/>
    <n v="1"/>
  </r>
  <r>
    <s v="U287"/>
    <x v="487"/>
    <s v="2024-02-03 14:14"/>
    <x v="1"/>
    <s v="P734"/>
    <x v="0"/>
    <s v="Desktop"/>
    <x v="3"/>
    <n v="0"/>
    <d v="2024-02-03T00:00:00"/>
    <n v="2"/>
  </r>
  <r>
    <s v="U627"/>
    <x v="488"/>
    <s v="2024-01-19 23:41"/>
    <x v="1"/>
    <s v="P144"/>
    <x v="4"/>
    <s v="Mobile"/>
    <x v="4"/>
    <n v="0"/>
    <d v="2024-01-19T00:00:00"/>
    <n v="1"/>
  </r>
  <r>
    <s v="U996"/>
    <x v="489"/>
    <s v="2024-01-11 20:13"/>
    <x v="1"/>
    <s v="P904"/>
    <x v="4"/>
    <s v="Mobile"/>
    <x v="2"/>
    <n v="0"/>
    <d v="2024-01-11T00:00:00"/>
    <n v="1"/>
  </r>
  <r>
    <s v="U362"/>
    <x v="490"/>
    <s v="2024-01-12 12:20"/>
    <x v="1"/>
    <s v="P773"/>
    <x v="2"/>
    <s v="Desktop"/>
    <x v="3"/>
    <n v="0"/>
    <d v="2024-01-12T00:00:00"/>
    <n v="1"/>
  </r>
  <r>
    <s v="U918"/>
    <x v="491"/>
    <s v="2024-01-03 14:08"/>
    <x v="0"/>
    <s v="P914"/>
    <x v="4"/>
    <s v="Desktop"/>
    <x v="1"/>
    <n v="0"/>
    <d v="2024-01-03T00:00:00"/>
    <n v="1"/>
  </r>
  <r>
    <s v="U751"/>
    <x v="190"/>
    <s v="2024-02-03 18:27"/>
    <x v="0"/>
    <s v="P633"/>
    <x v="3"/>
    <s v="Mobile"/>
    <x v="3"/>
    <n v="0"/>
    <d v="2024-02-03T00:00:00"/>
    <n v="2"/>
  </r>
  <r>
    <s v="U842"/>
    <x v="492"/>
    <s v="2024-02-03 01:35"/>
    <x v="1"/>
    <s v="P992"/>
    <x v="2"/>
    <s v="Tablet"/>
    <x v="3"/>
    <n v="0"/>
    <d v="2024-02-03T00:00:00"/>
    <n v="2"/>
  </r>
  <r>
    <s v="U438"/>
    <x v="493"/>
    <s v="2024-02-02 11:32"/>
    <x v="2"/>
    <s v="P588"/>
    <x v="2"/>
    <s v="Desktop"/>
    <x v="1"/>
    <n v="4000"/>
    <d v="2024-02-02T00:00:00"/>
    <n v="2"/>
  </r>
  <r>
    <s v="U921"/>
    <x v="494"/>
    <s v="2024-01-12 15:49"/>
    <x v="1"/>
    <s v="P769"/>
    <x v="3"/>
    <s v="Desktop"/>
    <x v="3"/>
    <n v="0"/>
    <d v="2024-01-12T00:00:00"/>
    <n v="1"/>
  </r>
  <r>
    <s v="U815"/>
    <x v="495"/>
    <s v="2024-01-28 13:35"/>
    <x v="2"/>
    <s v="P391"/>
    <x v="0"/>
    <s v="Mobile"/>
    <x v="4"/>
    <n v="1283"/>
    <d v="2024-01-28T00:00:00"/>
    <n v="1"/>
  </r>
  <r>
    <s v="U219"/>
    <x v="496"/>
    <s v="2024-01-02 03:38"/>
    <x v="2"/>
    <s v="P548"/>
    <x v="2"/>
    <s v="Mobile"/>
    <x v="3"/>
    <n v="2627"/>
    <d v="2024-01-02T00:00:00"/>
    <n v="1"/>
  </r>
  <r>
    <s v="U292"/>
    <x v="497"/>
    <s v="2024-01-29 11:00"/>
    <x v="0"/>
    <s v="P502"/>
    <x v="1"/>
    <s v="Tablet"/>
    <x v="4"/>
    <n v="0"/>
    <d v="2024-01-29T00:00:00"/>
    <n v="1"/>
  </r>
  <r>
    <s v="U923"/>
    <x v="498"/>
    <s v="2024-02-02 19:50"/>
    <x v="0"/>
    <s v="P380"/>
    <x v="3"/>
    <s v="Mobile"/>
    <x v="1"/>
    <n v="0"/>
    <d v="2024-02-02T00:00:00"/>
    <n v="2"/>
  </r>
  <r>
    <s v="U342"/>
    <x v="499"/>
    <s v="2024-01-24 20:59"/>
    <x v="1"/>
    <s v="P773"/>
    <x v="0"/>
    <s v="Mobile"/>
    <x v="3"/>
    <n v="0"/>
    <d v="2024-01-24T00:00:00"/>
    <n v="1"/>
  </r>
  <r>
    <s v="U844"/>
    <x v="500"/>
    <s v="2024-02-01 16:12"/>
    <x v="0"/>
    <s v="P619"/>
    <x v="2"/>
    <s v="Mobile"/>
    <x v="2"/>
    <n v="0"/>
    <d v="2024-02-01T00:00:00"/>
    <n v="2"/>
  </r>
  <r>
    <s v="U937"/>
    <x v="501"/>
    <s v="2024-01-18 07:21"/>
    <x v="0"/>
    <s v="P545"/>
    <x v="1"/>
    <s v="Tablet"/>
    <x v="0"/>
    <n v="0"/>
    <d v="2024-01-18T00:00:00"/>
    <n v="1"/>
  </r>
  <r>
    <s v="U433"/>
    <x v="502"/>
    <s v="2024-01-17 15:54"/>
    <x v="0"/>
    <s v="P813"/>
    <x v="3"/>
    <s v="Tablet"/>
    <x v="0"/>
    <n v="0"/>
    <d v="2024-01-17T00:00:00"/>
    <n v="1"/>
  </r>
  <r>
    <s v="U546"/>
    <x v="503"/>
    <s v="2024-01-23 16:10"/>
    <x v="2"/>
    <s v="P972"/>
    <x v="2"/>
    <s v="Desktop"/>
    <x v="3"/>
    <n v="1347"/>
    <d v="2024-01-23T00:00:00"/>
    <n v="1"/>
  </r>
  <r>
    <s v="U680"/>
    <x v="504"/>
    <s v="2024-01-27 17:52"/>
    <x v="1"/>
    <s v="P785"/>
    <x v="3"/>
    <s v="Tablet"/>
    <x v="2"/>
    <n v="0"/>
    <d v="2024-01-27T00:00:00"/>
    <n v="1"/>
  </r>
  <r>
    <s v="U231"/>
    <x v="505"/>
    <s v="2024-01-15 13:49"/>
    <x v="1"/>
    <s v="P983"/>
    <x v="3"/>
    <s v="Desktop"/>
    <x v="1"/>
    <n v="0"/>
    <d v="2024-01-15T00:00:00"/>
    <n v="1"/>
  </r>
  <r>
    <s v="U457"/>
    <x v="506"/>
    <s v="2024-01-06 00:02"/>
    <x v="1"/>
    <s v="P924"/>
    <x v="1"/>
    <s v="Desktop"/>
    <x v="0"/>
    <n v="0"/>
    <d v="2024-01-06T00:00:00"/>
    <n v="1"/>
  </r>
  <r>
    <s v="U185"/>
    <x v="448"/>
    <s v="2024-01-07 18:21"/>
    <x v="0"/>
    <s v="P512"/>
    <x v="4"/>
    <s v="Tablet"/>
    <x v="1"/>
    <n v="0"/>
    <d v="2024-01-07T00:00:00"/>
    <n v="1"/>
  </r>
  <r>
    <s v="U400"/>
    <x v="507"/>
    <s v="2024-01-20 23:56"/>
    <x v="2"/>
    <s v="P256"/>
    <x v="3"/>
    <s v="Mobile"/>
    <x v="2"/>
    <n v="707"/>
    <d v="2024-01-20T00:00:00"/>
    <n v="1"/>
  </r>
  <r>
    <s v="U462"/>
    <x v="508"/>
    <s v="2024-01-11 20:13"/>
    <x v="0"/>
    <s v="P122"/>
    <x v="0"/>
    <s v="Desktop"/>
    <x v="1"/>
    <n v="0"/>
    <d v="2024-01-11T00:00:00"/>
    <n v="1"/>
  </r>
  <r>
    <s v="U561"/>
    <x v="509"/>
    <s v="2024-01-02 22:51"/>
    <x v="0"/>
    <s v="P845"/>
    <x v="4"/>
    <s v="Tablet"/>
    <x v="1"/>
    <n v="0"/>
    <d v="2024-01-02T00:00:00"/>
    <n v="1"/>
  </r>
  <r>
    <s v="U795"/>
    <x v="510"/>
    <s v="2024-01-25 16:35"/>
    <x v="0"/>
    <s v="P911"/>
    <x v="2"/>
    <s v="Tablet"/>
    <x v="4"/>
    <n v="0"/>
    <d v="2024-01-25T00:00:00"/>
    <n v="1"/>
  </r>
  <r>
    <s v="U950"/>
    <x v="511"/>
    <s v="2024-01-30 12:42"/>
    <x v="0"/>
    <s v="P739"/>
    <x v="4"/>
    <s v="Mobile"/>
    <x v="4"/>
    <n v="0"/>
    <d v="2024-01-30T00:00:00"/>
    <n v="1"/>
  </r>
  <r>
    <s v="U269"/>
    <x v="512"/>
    <s v="2024-01-16 11:11"/>
    <x v="1"/>
    <s v="P242"/>
    <x v="0"/>
    <s v="Tablet"/>
    <x v="1"/>
    <n v="0"/>
    <d v="2024-01-16T00:00:00"/>
    <n v="1"/>
  </r>
  <r>
    <s v="U932"/>
    <x v="513"/>
    <s v="2024-01-02 04:19"/>
    <x v="0"/>
    <s v="P252"/>
    <x v="0"/>
    <s v="Desktop"/>
    <x v="3"/>
    <n v="0"/>
    <d v="2024-01-02T00:00:00"/>
    <n v="1"/>
  </r>
  <r>
    <s v="U213"/>
    <x v="514"/>
    <s v="2024-01-07 12:36"/>
    <x v="1"/>
    <s v="P926"/>
    <x v="0"/>
    <s v="Mobile"/>
    <x v="3"/>
    <n v="0"/>
    <d v="2024-01-07T00:00:00"/>
    <n v="1"/>
  </r>
  <r>
    <s v="U942"/>
    <x v="515"/>
    <s v="2024-01-02 15:49"/>
    <x v="0"/>
    <s v="P129"/>
    <x v="4"/>
    <s v="Desktop"/>
    <x v="0"/>
    <n v="0"/>
    <d v="2024-01-02T00:00:00"/>
    <n v="1"/>
  </r>
  <r>
    <s v="U767"/>
    <x v="516"/>
    <s v="2024-01-12 00:06"/>
    <x v="2"/>
    <s v="P331"/>
    <x v="0"/>
    <s v="Mobile"/>
    <x v="4"/>
    <n v="2385"/>
    <d v="2024-01-12T00:00:00"/>
    <n v="1"/>
  </r>
  <r>
    <s v="U645"/>
    <x v="517"/>
    <s v="2024-01-31 17:00"/>
    <x v="1"/>
    <s v="P800"/>
    <x v="3"/>
    <s v="Tablet"/>
    <x v="0"/>
    <n v="0"/>
    <d v="2024-01-31T00:00:00"/>
    <n v="1"/>
  </r>
  <r>
    <s v="U641"/>
    <x v="518"/>
    <s v="2024-02-02 06:27"/>
    <x v="1"/>
    <s v="P731"/>
    <x v="1"/>
    <s v="Desktop"/>
    <x v="1"/>
    <n v="0"/>
    <d v="2024-02-02T00:00:00"/>
    <n v="2"/>
  </r>
  <r>
    <s v="U372"/>
    <x v="519"/>
    <s v="2024-01-06 01:49"/>
    <x v="1"/>
    <s v="P153"/>
    <x v="2"/>
    <s v="Desktop"/>
    <x v="3"/>
    <n v="0"/>
    <d v="2024-01-06T00:00:00"/>
    <n v="1"/>
  </r>
  <r>
    <s v="U365"/>
    <x v="520"/>
    <s v="2024-01-02 03:01"/>
    <x v="1"/>
    <s v="P774"/>
    <x v="1"/>
    <s v="Desktop"/>
    <x v="4"/>
    <n v="0"/>
    <d v="2024-01-02T00:00:00"/>
    <n v="1"/>
  </r>
  <r>
    <s v="U457"/>
    <x v="521"/>
    <s v="2024-01-26 04:14"/>
    <x v="0"/>
    <s v="P388"/>
    <x v="1"/>
    <s v="Mobile"/>
    <x v="0"/>
    <n v="0"/>
    <d v="2024-01-26T00:00:00"/>
    <n v="1"/>
  </r>
  <r>
    <s v="U592"/>
    <x v="522"/>
    <s v="2024-02-03 07:20"/>
    <x v="0"/>
    <s v="P998"/>
    <x v="2"/>
    <s v="Desktop"/>
    <x v="0"/>
    <n v="0"/>
    <d v="2024-02-03T00:00:00"/>
    <n v="2"/>
  </r>
  <r>
    <s v="U438"/>
    <x v="523"/>
    <s v="2024-01-18 14:00"/>
    <x v="1"/>
    <s v="P188"/>
    <x v="3"/>
    <s v="Mobile"/>
    <x v="4"/>
    <n v="0"/>
    <d v="2024-01-18T00:00:00"/>
    <n v="1"/>
  </r>
  <r>
    <s v="U403"/>
    <x v="524"/>
    <s v="2024-01-03 16:07"/>
    <x v="1"/>
    <s v="P933"/>
    <x v="4"/>
    <s v="Desktop"/>
    <x v="2"/>
    <n v="0"/>
    <d v="2024-01-03T00:00:00"/>
    <n v="1"/>
  </r>
  <r>
    <s v="U600"/>
    <x v="525"/>
    <s v="2024-01-07 12:31"/>
    <x v="2"/>
    <s v="P273"/>
    <x v="4"/>
    <s v="Mobile"/>
    <x v="0"/>
    <n v="3714"/>
    <d v="2024-01-07T00:00:00"/>
    <n v="1"/>
  </r>
  <r>
    <s v="U503"/>
    <x v="526"/>
    <s v="2024-01-31 10:15"/>
    <x v="0"/>
    <s v="P578"/>
    <x v="3"/>
    <s v="Mobile"/>
    <x v="2"/>
    <n v="0"/>
    <d v="2024-01-31T00:00:00"/>
    <n v="1"/>
  </r>
  <r>
    <s v="U825"/>
    <x v="527"/>
    <s v="2024-02-01 13:46"/>
    <x v="2"/>
    <s v="P436"/>
    <x v="4"/>
    <s v="Mobile"/>
    <x v="4"/>
    <n v="2908"/>
    <d v="2024-02-01T00:00:00"/>
    <n v="2"/>
  </r>
  <r>
    <s v="U489"/>
    <x v="528"/>
    <s v="2024-01-03 11:56"/>
    <x v="2"/>
    <s v="P244"/>
    <x v="4"/>
    <s v="Mobile"/>
    <x v="3"/>
    <n v="4647"/>
    <d v="2024-01-03T00:00:00"/>
    <n v="1"/>
  </r>
  <r>
    <s v="U836"/>
    <x v="529"/>
    <s v="2024-01-01 02:36"/>
    <x v="0"/>
    <s v="P944"/>
    <x v="3"/>
    <s v="Mobile"/>
    <x v="2"/>
    <n v="0"/>
    <d v="2024-01-01T00:00:00"/>
    <n v="1"/>
  </r>
  <r>
    <s v="U499"/>
    <x v="530"/>
    <s v="2024-01-11 01:18"/>
    <x v="2"/>
    <s v="P969"/>
    <x v="0"/>
    <s v="Mobile"/>
    <x v="0"/>
    <n v="304"/>
    <d v="2024-01-11T00:00:00"/>
    <n v="1"/>
  </r>
  <r>
    <s v="U954"/>
    <x v="531"/>
    <s v="2024-01-17 20:19"/>
    <x v="0"/>
    <s v="P772"/>
    <x v="4"/>
    <s v="Tablet"/>
    <x v="0"/>
    <n v="0"/>
    <d v="2024-01-17T00:00:00"/>
    <n v="1"/>
  </r>
  <r>
    <s v="U472"/>
    <x v="532"/>
    <s v="2024-01-12 20:08"/>
    <x v="1"/>
    <s v="P378"/>
    <x v="2"/>
    <s v="Tablet"/>
    <x v="3"/>
    <n v="0"/>
    <d v="2024-01-12T00:00:00"/>
    <n v="1"/>
  </r>
  <r>
    <s v="U518"/>
    <x v="533"/>
    <s v="2024-01-17 02:14"/>
    <x v="2"/>
    <s v="P152"/>
    <x v="4"/>
    <s v="Mobile"/>
    <x v="3"/>
    <n v="4271"/>
    <d v="2024-01-17T00:00:00"/>
    <n v="1"/>
  </r>
  <r>
    <s v="U406"/>
    <x v="534"/>
    <s v="2024-01-04 21:42"/>
    <x v="1"/>
    <s v="P900"/>
    <x v="1"/>
    <s v="Mobile"/>
    <x v="0"/>
    <n v="0"/>
    <d v="2024-01-04T00:00:00"/>
    <n v="1"/>
  </r>
  <r>
    <s v="U270"/>
    <x v="535"/>
    <s v="2024-01-31 16:48"/>
    <x v="2"/>
    <s v="P784"/>
    <x v="0"/>
    <s v="Tablet"/>
    <x v="2"/>
    <n v="2480"/>
    <d v="2024-01-31T00:00:00"/>
    <n v="1"/>
  </r>
  <r>
    <s v="U526"/>
    <x v="536"/>
    <s v="2024-01-09 21:25"/>
    <x v="0"/>
    <s v="P772"/>
    <x v="0"/>
    <s v="Tablet"/>
    <x v="4"/>
    <n v="0"/>
    <d v="2024-01-09T00:00:00"/>
    <n v="1"/>
  </r>
  <r>
    <s v="U427"/>
    <x v="537"/>
    <s v="2024-01-02 06:10"/>
    <x v="0"/>
    <s v="P630"/>
    <x v="3"/>
    <s v="Desktop"/>
    <x v="3"/>
    <n v="0"/>
    <d v="2024-01-02T00:00:00"/>
    <n v="1"/>
  </r>
  <r>
    <s v="U935"/>
    <x v="538"/>
    <s v="2024-01-29 12:43"/>
    <x v="0"/>
    <s v="P686"/>
    <x v="2"/>
    <s v="Desktop"/>
    <x v="4"/>
    <n v="0"/>
    <d v="2024-01-29T00:00:00"/>
    <n v="1"/>
  </r>
  <r>
    <s v="U804"/>
    <x v="539"/>
    <s v="2024-01-15 00:30"/>
    <x v="0"/>
    <s v="P909"/>
    <x v="4"/>
    <s v="Desktop"/>
    <x v="3"/>
    <n v="0"/>
    <d v="2024-01-15T00:00:00"/>
    <n v="1"/>
  </r>
  <r>
    <s v="U181"/>
    <x v="540"/>
    <s v="2024-01-27 06:57"/>
    <x v="1"/>
    <s v="P733"/>
    <x v="0"/>
    <s v="Tablet"/>
    <x v="4"/>
    <n v="0"/>
    <d v="2024-01-27T00:00:00"/>
    <n v="1"/>
  </r>
  <r>
    <s v="U726"/>
    <x v="541"/>
    <s v="2024-01-27 10:17"/>
    <x v="1"/>
    <s v="P920"/>
    <x v="4"/>
    <s v="Desktop"/>
    <x v="0"/>
    <n v="0"/>
    <d v="2024-01-27T00:00:00"/>
    <n v="1"/>
  </r>
  <r>
    <s v="U302"/>
    <x v="542"/>
    <s v="2024-01-31 16:41"/>
    <x v="1"/>
    <s v="P396"/>
    <x v="3"/>
    <s v="Tablet"/>
    <x v="4"/>
    <n v="0"/>
    <d v="2024-01-31T00:00:00"/>
    <n v="1"/>
  </r>
  <r>
    <s v="U716"/>
    <x v="543"/>
    <s v="2024-01-24 10:12"/>
    <x v="2"/>
    <s v="P906"/>
    <x v="3"/>
    <s v="Desktop"/>
    <x v="1"/>
    <n v="3761"/>
    <d v="2024-01-24T00:00:00"/>
    <n v="1"/>
  </r>
  <r>
    <s v="U850"/>
    <x v="544"/>
    <s v="2024-01-13 20:55"/>
    <x v="0"/>
    <s v="P541"/>
    <x v="3"/>
    <s v="Mobile"/>
    <x v="0"/>
    <n v="0"/>
    <d v="2024-01-13T00:00:00"/>
    <n v="1"/>
  </r>
  <r>
    <s v="U463"/>
    <x v="543"/>
    <s v="2024-01-22 15:49"/>
    <x v="0"/>
    <s v="P907"/>
    <x v="2"/>
    <s v="Desktop"/>
    <x v="2"/>
    <n v="0"/>
    <d v="2024-01-22T00:00:00"/>
    <n v="1"/>
  </r>
  <r>
    <s v="U659"/>
    <x v="545"/>
    <s v="2024-01-14 04:06"/>
    <x v="0"/>
    <s v="P601"/>
    <x v="0"/>
    <s v="Mobile"/>
    <x v="1"/>
    <n v="0"/>
    <d v="2024-01-14T00:00:00"/>
    <n v="1"/>
  </r>
  <r>
    <s v="U165"/>
    <x v="546"/>
    <s v="2024-01-18 15:36"/>
    <x v="0"/>
    <s v="P994"/>
    <x v="0"/>
    <s v="Tablet"/>
    <x v="1"/>
    <n v="0"/>
    <d v="2024-01-18T00:00:00"/>
    <n v="1"/>
  </r>
  <r>
    <s v="U858"/>
    <x v="547"/>
    <s v="2024-01-22 23:48"/>
    <x v="2"/>
    <s v="P859"/>
    <x v="1"/>
    <s v="Mobile"/>
    <x v="0"/>
    <n v="4062"/>
    <d v="2024-01-22T00:00:00"/>
    <n v="1"/>
  </r>
  <r>
    <s v="U397"/>
    <x v="548"/>
    <s v="2024-02-03 14:25"/>
    <x v="1"/>
    <s v="P671"/>
    <x v="3"/>
    <s v="Desktop"/>
    <x v="4"/>
    <n v="0"/>
    <d v="2024-02-03T00:00:00"/>
    <n v="2"/>
  </r>
  <r>
    <s v="U362"/>
    <x v="549"/>
    <s v="2024-01-27 21:29"/>
    <x v="1"/>
    <s v="P312"/>
    <x v="4"/>
    <s v="Tablet"/>
    <x v="1"/>
    <n v="0"/>
    <d v="2024-01-27T00:00:00"/>
    <n v="1"/>
  </r>
  <r>
    <s v="U662"/>
    <x v="228"/>
    <s v="2024-01-06 08:58"/>
    <x v="1"/>
    <s v="P520"/>
    <x v="1"/>
    <s v="Tablet"/>
    <x v="2"/>
    <n v="0"/>
    <d v="2024-01-06T00:00:00"/>
    <n v="1"/>
  </r>
  <r>
    <s v="U946"/>
    <x v="550"/>
    <s v="2024-02-03 03:43"/>
    <x v="0"/>
    <s v="P871"/>
    <x v="1"/>
    <s v="Tablet"/>
    <x v="4"/>
    <n v="0"/>
    <d v="2024-02-03T00:00:00"/>
    <n v="2"/>
  </r>
  <r>
    <s v="U928"/>
    <x v="551"/>
    <s v="2024-01-11 12:06"/>
    <x v="1"/>
    <s v="P599"/>
    <x v="2"/>
    <s v="Tablet"/>
    <x v="2"/>
    <n v="0"/>
    <d v="2024-01-11T00:00:00"/>
    <n v="1"/>
  </r>
  <r>
    <s v="U286"/>
    <x v="552"/>
    <s v="2024-02-04 15:27"/>
    <x v="0"/>
    <s v="P118"/>
    <x v="2"/>
    <s v="Tablet"/>
    <x v="3"/>
    <n v="0"/>
    <d v="2024-02-04T00:00:00"/>
    <n v="2"/>
  </r>
  <r>
    <s v="U203"/>
    <x v="553"/>
    <s v="2024-01-08 16:18"/>
    <x v="0"/>
    <s v="P810"/>
    <x v="4"/>
    <s v="Desktop"/>
    <x v="3"/>
    <n v="0"/>
    <d v="2024-01-08T00:00:00"/>
    <n v="1"/>
  </r>
  <r>
    <s v="U349"/>
    <x v="554"/>
    <s v="2024-01-30 11:26"/>
    <x v="1"/>
    <s v="P509"/>
    <x v="2"/>
    <s v="Tablet"/>
    <x v="4"/>
    <n v="0"/>
    <d v="2024-01-30T00:00:00"/>
    <n v="1"/>
  </r>
  <r>
    <s v="U229"/>
    <x v="555"/>
    <s v="2024-01-04 04:51"/>
    <x v="2"/>
    <s v="P245"/>
    <x v="1"/>
    <s v="Desktop"/>
    <x v="0"/>
    <n v="3313"/>
    <d v="2024-01-04T00:00:00"/>
    <n v="1"/>
  </r>
  <r>
    <s v="U517"/>
    <x v="556"/>
    <s v="2024-01-10 10:07"/>
    <x v="1"/>
    <s v="P476"/>
    <x v="3"/>
    <s v="Desktop"/>
    <x v="1"/>
    <n v="0"/>
    <d v="2024-01-10T00:00:00"/>
    <n v="1"/>
  </r>
  <r>
    <s v="U896"/>
    <x v="557"/>
    <s v="2024-01-09 15:38"/>
    <x v="0"/>
    <s v="P973"/>
    <x v="0"/>
    <s v="Mobile"/>
    <x v="4"/>
    <n v="0"/>
    <d v="2024-01-09T00:00:00"/>
    <n v="1"/>
  </r>
  <r>
    <s v="U811"/>
    <x v="558"/>
    <s v="2024-02-04 15:06"/>
    <x v="0"/>
    <s v="P287"/>
    <x v="1"/>
    <s v="Tablet"/>
    <x v="3"/>
    <n v="0"/>
    <d v="2024-02-04T00:00:00"/>
    <n v="2"/>
  </r>
  <r>
    <s v="U967"/>
    <x v="559"/>
    <s v="2024-01-19 13:06"/>
    <x v="2"/>
    <s v="P381"/>
    <x v="4"/>
    <s v="Tablet"/>
    <x v="2"/>
    <n v="617"/>
    <d v="2024-01-19T00:00:00"/>
    <n v="1"/>
  </r>
  <r>
    <s v="U654"/>
    <x v="357"/>
    <s v="2024-01-16 03:39"/>
    <x v="2"/>
    <s v="P304"/>
    <x v="3"/>
    <s v="Mobile"/>
    <x v="2"/>
    <n v="3267"/>
    <d v="2024-01-16T00:00:00"/>
    <n v="1"/>
  </r>
  <r>
    <s v="U542"/>
    <x v="560"/>
    <s v="2024-01-15 04:20"/>
    <x v="2"/>
    <s v="P281"/>
    <x v="2"/>
    <s v="Tablet"/>
    <x v="2"/>
    <n v="921"/>
    <d v="2024-01-15T00:00:00"/>
    <n v="1"/>
  </r>
  <r>
    <s v="U606"/>
    <x v="561"/>
    <s v="2024-02-01 22:44"/>
    <x v="1"/>
    <s v="P266"/>
    <x v="1"/>
    <s v="Mobile"/>
    <x v="3"/>
    <n v="0"/>
    <d v="2024-02-01T00:00:00"/>
    <n v="2"/>
  </r>
  <r>
    <s v="U121"/>
    <x v="562"/>
    <s v="2024-01-24 14:59"/>
    <x v="0"/>
    <s v="P479"/>
    <x v="4"/>
    <s v="Desktop"/>
    <x v="2"/>
    <n v="0"/>
    <d v="2024-01-24T00:00:00"/>
    <n v="1"/>
  </r>
  <r>
    <s v="U159"/>
    <x v="563"/>
    <s v="2024-01-01 06:15"/>
    <x v="2"/>
    <s v="P809"/>
    <x v="3"/>
    <s v="Mobile"/>
    <x v="0"/>
    <n v="3098"/>
    <d v="2024-01-01T00:00:00"/>
    <n v="1"/>
  </r>
  <r>
    <s v="U746"/>
    <x v="564"/>
    <s v="2024-01-12 15:31"/>
    <x v="0"/>
    <s v="P659"/>
    <x v="0"/>
    <s v="Desktop"/>
    <x v="2"/>
    <n v="0"/>
    <d v="2024-01-12T00:00:00"/>
    <n v="1"/>
  </r>
  <r>
    <s v="U489"/>
    <x v="565"/>
    <s v="2024-01-05 11:48"/>
    <x v="2"/>
    <s v="P821"/>
    <x v="1"/>
    <s v="Desktop"/>
    <x v="0"/>
    <n v="1212"/>
    <d v="2024-01-05T00:00:00"/>
    <n v="1"/>
  </r>
  <r>
    <s v="U359"/>
    <x v="566"/>
    <s v="2024-01-19 19:52"/>
    <x v="0"/>
    <s v="P120"/>
    <x v="2"/>
    <s v="Mobile"/>
    <x v="4"/>
    <n v="0"/>
    <d v="2024-01-19T00:00:00"/>
    <n v="1"/>
  </r>
  <r>
    <s v="U233"/>
    <x v="567"/>
    <s v="2024-01-21 17:27"/>
    <x v="0"/>
    <s v="P114"/>
    <x v="0"/>
    <s v="Desktop"/>
    <x v="4"/>
    <n v="0"/>
    <d v="2024-01-21T00:00:00"/>
    <n v="1"/>
  </r>
  <r>
    <s v="U789"/>
    <x v="163"/>
    <s v="2024-01-26 14:11"/>
    <x v="1"/>
    <s v="P680"/>
    <x v="1"/>
    <s v="Desktop"/>
    <x v="2"/>
    <n v="0"/>
    <d v="2024-01-26T00:00:00"/>
    <n v="1"/>
  </r>
  <r>
    <s v="U704"/>
    <x v="568"/>
    <s v="2024-01-01 21:09"/>
    <x v="0"/>
    <s v="P553"/>
    <x v="2"/>
    <s v="Mobile"/>
    <x v="4"/>
    <n v="0"/>
    <d v="2024-01-01T00:00:00"/>
    <n v="1"/>
  </r>
  <r>
    <s v="U893"/>
    <x v="569"/>
    <s v="2024-01-31 15:13"/>
    <x v="0"/>
    <s v="P896"/>
    <x v="1"/>
    <s v="Tablet"/>
    <x v="2"/>
    <n v="0"/>
    <d v="2024-01-31T00:00:00"/>
    <n v="1"/>
  </r>
  <r>
    <s v="U199"/>
    <x v="570"/>
    <s v="2024-01-11 16:37"/>
    <x v="2"/>
    <s v="P425"/>
    <x v="2"/>
    <s v="Tablet"/>
    <x v="2"/>
    <n v="3437"/>
    <d v="2024-01-11T00:00:00"/>
    <n v="1"/>
  </r>
  <r>
    <s v="U842"/>
    <x v="571"/>
    <s v="2024-01-30 06:53"/>
    <x v="2"/>
    <s v="P520"/>
    <x v="3"/>
    <s v="Tablet"/>
    <x v="1"/>
    <n v="3882"/>
    <d v="2024-01-30T00:00:00"/>
    <n v="1"/>
  </r>
  <r>
    <s v="U222"/>
    <x v="572"/>
    <s v="2024-01-20 13:00"/>
    <x v="1"/>
    <s v="P732"/>
    <x v="4"/>
    <s v="Tablet"/>
    <x v="3"/>
    <n v="0"/>
    <d v="2024-01-20T00:00:00"/>
    <n v="1"/>
  </r>
  <r>
    <s v="U126"/>
    <x v="573"/>
    <s v="2024-01-20 02:33"/>
    <x v="1"/>
    <s v="P960"/>
    <x v="2"/>
    <s v="Tablet"/>
    <x v="4"/>
    <n v="0"/>
    <d v="2024-01-20T00:00:00"/>
    <n v="1"/>
  </r>
  <r>
    <s v="U545"/>
    <x v="574"/>
    <s v="2024-01-30 13:50"/>
    <x v="1"/>
    <s v="P101"/>
    <x v="4"/>
    <s v="Mobile"/>
    <x v="2"/>
    <n v="0"/>
    <d v="2024-01-30T00:00:00"/>
    <n v="1"/>
  </r>
  <r>
    <s v="U484"/>
    <x v="575"/>
    <s v="2024-01-15 06:50"/>
    <x v="0"/>
    <s v="P815"/>
    <x v="3"/>
    <s v="Tablet"/>
    <x v="3"/>
    <n v="0"/>
    <d v="2024-01-15T00:00:00"/>
    <n v="1"/>
  </r>
  <r>
    <s v="U871"/>
    <x v="576"/>
    <s v="2024-01-26 20:14"/>
    <x v="0"/>
    <s v="P239"/>
    <x v="1"/>
    <s v="Desktop"/>
    <x v="2"/>
    <n v="0"/>
    <d v="2024-01-26T00:00:00"/>
    <n v="1"/>
  </r>
  <r>
    <s v="U479"/>
    <x v="577"/>
    <s v="2024-02-04 12:11"/>
    <x v="0"/>
    <s v="P194"/>
    <x v="4"/>
    <s v="Desktop"/>
    <x v="2"/>
    <n v="0"/>
    <d v="2024-02-04T00:00:00"/>
    <n v="2"/>
  </r>
  <r>
    <s v="U982"/>
    <x v="578"/>
    <s v="2024-01-09 09:12"/>
    <x v="1"/>
    <s v="P498"/>
    <x v="3"/>
    <s v="Mobile"/>
    <x v="1"/>
    <n v="0"/>
    <d v="2024-01-09T00:00:00"/>
    <n v="1"/>
  </r>
  <r>
    <s v="U229"/>
    <x v="579"/>
    <s v="2024-01-26 01:39"/>
    <x v="1"/>
    <s v="P610"/>
    <x v="4"/>
    <s v="Mobile"/>
    <x v="3"/>
    <n v="0"/>
    <d v="2024-01-26T00:00:00"/>
    <n v="1"/>
  </r>
  <r>
    <s v="U473"/>
    <x v="580"/>
    <s v="2024-01-24 17:32"/>
    <x v="1"/>
    <s v="P294"/>
    <x v="1"/>
    <s v="Tablet"/>
    <x v="0"/>
    <n v="0"/>
    <d v="2024-01-24T00:00:00"/>
    <n v="1"/>
  </r>
  <r>
    <s v="U884"/>
    <x v="581"/>
    <s v="2024-01-10 07:11"/>
    <x v="2"/>
    <s v="P649"/>
    <x v="3"/>
    <s v="Tablet"/>
    <x v="2"/>
    <n v="2812"/>
    <d v="2024-01-10T00:00:00"/>
    <n v="1"/>
  </r>
  <r>
    <s v="U523"/>
    <x v="582"/>
    <s v="2024-01-21 15:26"/>
    <x v="1"/>
    <s v="P383"/>
    <x v="4"/>
    <s v="Desktop"/>
    <x v="4"/>
    <n v="0"/>
    <d v="2024-01-21T00:00:00"/>
    <n v="1"/>
  </r>
  <r>
    <s v="U569"/>
    <x v="583"/>
    <s v="2024-01-11 11:07"/>
    <x v="0"/>
    <s v="P349"/>
    <x v="0"/>
    <s v="Tablet"/>
    <x v="2"/>
    <n v="0"/>
    <d v="2024-01-11T00:00:00"/>
    <n v="1"/>
  </r>
  <r>
    <s v="U771"/>
    <x v="584"/>
    <s v="2024-02-01 20:23"/>
    <x v="1"/>
    <s v="P915"/>
    <x v="3"/>
    <s v="Tablet"/>
    <x v="3"/>
    <n v="0"/>
    <d v="2024-02-01T00:00:00"/>
    <n v="2"/>
  </r>
  <r>
    <s v="U900"/>
    <x v="289"/>
    <s v="2024-01-31 06:37"/>
    <x v="0"/>
    <s v="P943"/>
    <x v="4"/>
    <s v="Mobile"/>
    <x v="4"/>
    <n v="0"/>
    <d v="2024-01-31T00:00:00"/>
    <n v="1"/>
  </r>
  <r>
    <s v="U881"/>
    <x v="585"/>
    <s v="2024-01-04 03:58"/>
    <x v="1"/>
    <s v="P294"/>
    <x v="4"/>
    <s v="Desktop"/>
    <x v="2"/>
    <n v="0"/>
    <d v="2024-01-04T00:00:00"/>
    <n v="1"/>
  </r>
  <r>
    <s v="U208"/>
    <x v="586"/>
    <s v="2024-01-26 22:57"/>
    <x v="0"/>
    <s v="P597"/>
    <x v="1"/>
    <s v="Mobile"/>
    <x v="1"/>
    <n v="0"/>
    <d v="2024-01-26T00:00:00"/>
    <n v="1"/>
  </r>
  <r>
    <s v="U489"/>
    <x v="587"/>
    <s v="2024-01-14 17:44"/>
    <x v="0"/>
    <s v="P436"/>
    <x v="0"/>
    <s v="Mobile"/>
    <x v="1"/>
    <n v="0"/>
    <d v="2024-01-14T00:00:00"/>
    <n v="1"/>
  </r>
  <r>
    <s v="U566"/>
    <x v="588"/>
    <s v="2024-01-30 19:26"/>
    <x v="1"/>
    <s v="P814"/>
    <x v="2"/>
    <s v="Desktop"/>
    <x v="0"/>
    <n v="0"/>
    <d v="2024-01-30T00:00:00"/>
    <n v="1"/>
  </r>
  <r>
    <s v="U678"/>
    <x v="589"/>
    <s v="2024-02-01 20:54"/>
    <x v="2"/>
    <s v="P126"/>
    <x v="4"/>
    <s v="Desktop"/>
    <x v="4"/>
    <n v="1112"/>
    <d v="2024-02-01T00:00:00"/>
    <n v="2"/>
  </r>
  <r>
    <s v="U586"/>
    <x v="590"/>
    <s v="2024-01-18 04:11"/>
    <x v="0"/>
    <s v="P755"/>
    <x v="4"/>
    <s v="Mobile"/>
    <x v="2"/>
    <n v="0"/>
    <d v="2024-01-18T00:00:00"/>
    <n v="1"/>
  </r>
  <r>
    <s v="U512"/>
    <x v="591"/>
    <s v="2024-01-25 22:07"/>
    <x v="0"/>
    <s v="P170"/>
    <x v="0"/>
    <s v="Tablet"/>
    <x v="1"/>
    <n v="0"/>
    <d v="2024-01-25T00:00:00"/>
    <n v="1"/>
  </r>
  <r>
    <s v="U819"/>
    <x v="592"/>
    <s v="2024-01-14 03:38"/>
    <x v="0"/>
    <s v="P195"/>
    <x v="3"/>
    <s v="Desktop"/>
    <x v="0"/>
    <n v="0"/>
    <d v="2024-01-14T00:00:00"/>
    <n v="1"/>
  </r>
  <r>
    <s v="U514"/>
    <x v="593"/>
    <s v="2024-01-14 15:25"/>
    <x v="0"/>
    <s v="P908"/>
    <x v="2"/>
    <s v="Tablet"/>
    <x v="3"/>
    <n v="0"/>
    <d v="2024-01-14T00:00:00"/>
    <n v="1"/>
  </r>
  <r>
    <s v="U369"/>
    <x v="172"/>
    <s v="2024-02-02 00:20"/>
    <x v="0"/>
    <s v="P358"/>
    <x v="0"/>
    <s v="Mobile"/>
    <x v="3"/>
    <n v="0"/>
    <d v="2024-02-02T00:00:00"/>
    <n v="2"/>
  </r>
  <r>
    <s v="U802"/>
    <x v="594"/>
    <s v="2024-01-03 07:20"/>
    <x v="0"/>
    <s v="P935"/>
    <x v="0"/>
    <s v="Tablet"/>
    <x v="2"/>
    <n v="0"/>
    <d v="2024-01-03T00:00:00"/>
    <n v="1"/>
  </r>
  <r>
    <s v="U829"/>
    <x v="595"/>
    <s v="2024-01-11 01:58"/>
    <x v="0"/>
    <s v="P813"/>
    <x v="2"/>
    <s v="Tablet"/>
    <x v="1"/>
    <n v="0"/>
    <d v="2024-01-11T00:00:00"/>
    <n v="1"/>
  </r>
  <r>
    <s v="U405"/>
    <x v="596"/>
    <s v="2024-01-28 15:22"/>
    <x v="2"/>
    <s v="P510"/>
    <x v="0"/>
    <s v="Tablet"/>
    <x v="2"/>
    <n v="2267"/>
    <d v="2024-01-28T00:00:00"/>
    <n v="1"/>
  </r>
  <r>
    <s v="U919"/>
    <x v="597"/>
    <s v="2024-01-02 04:31"/>
    <x v="2"/>
    <s v="P620"/>
    <x v="2"/>
    <s v="Tablet"/>
    <x v="0"/>
    <n v="4233"/>
    <d v="2024-01-02T00:00:00"/>
    <n v="1"/>
  </r>
  <r>
    <s v="U431"/>
    <x v="598"/>
    <s v="2024-01-14 19:55"/>
    <x v="1"/>
    <s v="P257"/>
    <x v="0"/>
    <s v="Tablet"/>
    <x v="2"/>
    <n v="0"/>
    <d v="2024-01-14T00:00:00"/>
    <n v="1"/>
  </r>
  <r>
    <s v="U337"/>
    <x v="599"/>
    <s v="2024-01-16 00:51"/>
    <x v="2"/>
    <s v="P820"/>
    <x v="0"/>
    <s v="Tablet"/>
    <x v="1"/>
    <n v="825"/>
    <d v="2024-01-16T00:00:00"/>
    <n v="1"/>
  </r>
  <r>
    <s v="U987"/>
    <x v="600"/>
    <s v="2024-01-10 21:44"/>
    <x v="1"/>
    <s v="P297"/>
    <x v="4"/>
    <s v="Mobile"/>
    <x v="2"/>
    <n v="0"/>
    <d v="2024-01-10T00:00:00"/>
    <n v="1"/>
  </r>
  <r>
    <s v="U484"/>
    <x v="601"/>
    <s v="2024-01-04 23:18"/>
    <x v="1"/>
    <s v="P732"/>
    <x v="0"/>
    <s v="Desktop"/>
    <x v="3"/>
    <n v="0"/>
    <d v="2024-01-04T00:00:00"/>
    <n v="1"/>
  </r>
  <r>
    <s v="U348"/>
    <x v="602"/>
    <s v="2024-01-06 06:16"/>
    <x v="1"/>
    <s v="P195"/>
    <x v="4"/>
    <s v="Mobile"/>
    <x v="0"/>
    <n v="0"/>
    <d v="2024-01-06T00:00:00"/>
    <n v="1"/>
  </r>
  <r>
    <s v="U873"/>
    <x v="603"/>
    <s v="2024-01-02 02:34"/>
    <x v="0"/>
    <s v="P869"/>
    <x v="1"/>
    <s v="Mobile"/>
    <x v="1"/>
    <n v="0"/>
    <d v="2024-01-02T00:00:00"/>
    <n v="1"/>
  </r>
  <r>
    <s v="U586"/>
    <x v="604"/>
    <s v="2024-01-11 14:08"/>
    <x v="1"/>
    <s v="P151"/>
    <x v="4"/>
    <s v="Mobile"/>
    <x v="2"/>
    <n v="0"/>
    <d v="2024-01-11T00:00:00"/>
    <n v="1"/>
  </r>
  <r>
    <s v="U596"/>
    <x v="83"/>
    <s v="2024-01-25 13:53"/>
    <x v="0"/>
    <s v="P424"/>
    <x v="4"/>
    <s v="Desktop"/>
    <x v="0"/>
    <n v="0"/>
    <d v="2024-01-25T00:00:00"/>
    <n v="1"/>
  </r>
  <r>
    <s v="U317"/>
    <x v="605"/>
    <s v="2024-01-03 11:27"/>
    <x v="0"/>
    <s v="P399"/>
    <x v="3"/>
    <s v="Desktop"/>
    <x v="1"/>
    <n v="0"/>
    <d v="2024-01-03T00:00:00"/>
    <n v="1"/>
  </r>
  <r>
    <s v="U350"/>
    <x v="606"/>
    <s v="2024-01-29 23:48"/>
    <x v="0"/>
    <s v="P243"/>
    <x v="4"/>
    <s v="Mobile"/>
    <x v="3"/>
    <n v="0"/>
    <d v="2024-01-29T00:00:00"/>
    <n v="1"/>
  </r>
  <r>
    <s v="U489"/>
    <x v="607"/>
    <s v="2024-01-08 17:01"/>
    <x v="0"/>
    <s v="P779"/>
    <x v="2"/>
    <s v="Tablet"/>
    <x v="0"/>
    <n v="0"/>
    <d v="2024-01-08T00:00:00"/>
    <n v="1"/>
  </r>
  <r>
    <s v="U452"/>
    <x v="608"/>
    <s v="2024-01-14 03:54"/>
    <x v="0"/>
    <s v="P372"/>
    <x v="1"/>
    <s v="Mobile"/>
    <x v="3"/>
    <n v="0"/>
    <d v="2024-01-14T00:00:00"/>
    <n v="1"/>
  </r>
  <r>
    <s v="U504"/>
    <x v="609"/>
    <s v="2024-01-05 10:39"/>
    <x v="0"/>
    <s v="P829"/>
    <x v="1"/>
    <s v="Desktop"/>
    <x v="0"/>
    <n v="0"/>
    <d v="2024-01-05T00:00:00"/>
    <n v="1"/>
  </r>
  <r>
    <s v="U807"/>
    <x v="610"/>
    <s v="2024-02-02 19:41"/>
    <x v="2"/>
    <s v="P840"/>
    <x v="4"/>
    <s v="Tablet"/>
    <x v="2"/>
    <n v="1438"/>
    <d v="2024-02-02T00:00:00"/>
    <n v="2"/>
  </r>
  <r>
    <s v="U554"/>
    <x v="601"/>
    <s v="2024-01-28 00:11"/>
    <x v="2"/>
    <s v="P608"/>
    <x v="4"/>
    <s v="Mobile"/>
    <x v="4"/>
    <n v="2308"/>
    <d v="2024-01-28T00:00:00"/>
    <n v="1"/>
  </r>
  <r>
    <s v="U695"/>
    <x v="611"/>
    <s v="2024-01-05 01:51"/>
    <x v="1"/>
    <s v="P995"/>
    <x v="2"/>
    <s v="Tablet"/>
    <x v="2"/>
    <n v="0"/>
    <d v="2024-01-05T00:00:00"/>
    <n v="1"/>
  </r>
  <r>
    <s v="U477"/>
    <x v="612"/>
    <s v="2024-01-21 07:47"/>
    <x v="2"/>
    <s v="P177"/>
    <x v="3"/>
    <s v="Mobile"/>
    <x v="1"/>
    <n v="4383"/>
    <d v="2024-01-21T00:00:00"/>
    <n v="1"/>
  </r>
  <r>
    <s v="U725"/>
    <x v="613"/>
    <s v="2024-01-18 06:10"/>
    <x v="1"/>
    <s v="P473"/>
    <x v="4"/>
    <s v="Tablet"/>
    <x v="0"/>
    <n v="0"/>
    <d v="2024-01-18T00:00:00"/>
    <n v="1"/>
  </r>
  <r>
    <s v="U203"/>
    <x v="614"/>
    <s v="2024-01-12 06:34"/>
    <x v="2"/>
    <s v="P733"/>
    <x v="3"/>
    <s v="Tablet"/>
    <x v="0"/>
    <n v="4116"/>
    <d v="2024-01-12T00:00:00"/>
    <n v="1"/>
  </r>
  <r>
    <s v="U572"/>
    <x v="615"/>
    <s v="2024-01-24 11:09"/>
    <x v="1"/>
    <s v="P635"/>
    <x v="4"/>
    <s v="Desktop"/>
    <x v="4"/>
    <n v="0"/>
    <d v="2024-01-24T00:00:00"/>
    <n v="1"/>
  </r>
  <r>
    <s v="U272"/>
    <x v="616"/>
    <s v="2024-01-01 09:46"/>
    <x v="1"/>
    <s v="P144"/>
    <x v="1"/>
    <s v="Mobile"/>
    <x v="3"/>
    <n v="0"/>
    <d v="2024-01-01T00:00:00"/>
    <n v="1"/>
  </r>
  <r>
    <s v="U446"/>
    <x v="617"/>
    <s v="2024-01-21 01:00"/>
    <x v="1"/>
    <s v="P384"/>
    <x v="3"/>
    <s v="Desktop"/>
    <x v="1"/>
    <n v="0"/>
    <d v="2024-01-21T00:00:00"/>
    <n v="1"/>
  </r>
  <r>
    <s v="U548"/>
    <x v="618"/>
    <s v="2024-02-01 19:41"/>
    <x v="1"/>
    <s v="P229"/>
    <x v="1"/>
    <s v="Mobile"/>
    <x v="3"/>
    <n v="0"/>
    <d v="2024-02-01T00:00:00"/>
    <n v="2"/>
  </r>
  <r>
    <s v="U281"/>
    <x v="619"/>
    <s v="2024-01-08 12:54"/>
    <x v="1"/>
    <s v="P243"/>
    <x v="1"/>
    <s v="Tablet"/>
    <x v="3"/>
    <n v="0"/>
    <d v="2024-01-08T00:00:00"/>
    <n v="1"/>
  </r>
  <r>
    <s v="U511"/>
    <x v="620"/>
    <s v="2024-01-15 15:32"/>
    <x v="0"/>
    <s v="P323"/>
    <x v="3"/>
    <s v="Mobile"/>
    <x v="4"/>
    <n v="0"/>
    <d v="2024-01-15T00:00:00"/>
    <n v="1"/>
  </r>
  <r>
    <s v="U151"/>
    <x v="621"/>
    <s v="2024-01-16 20:16"/>
    <x v="2"/>
    <s v="P928"/>
    <x v="3"/>
    <s v="Mobile"/>
    <x v="1"/>
    <n v="2300"/>
    <d v="2024-01-16T00:00:00"/>
    <n v="1"/>
  </r>
  <r>
    <s v="U979"/>
    <x v="622"/>
    <s v="2024-02-03 01:41"/>
    <x v="2"/>
    <s v="P306"/>
    <x v="0"/>
    <s v="Desktop"/>
    <x v="0"/>
    <n v="1999"/>
    <d v="2024-02-03T00:00:00"/>
    <n v="2"/>
  </r>
  <r>
    <s v="U974"/>
    <x v="623"/>
    <s v="2024-01-28 22:32"/>
    <x v="0"/>
    <s v="P516"/>
    <x v="4"/>
    <s v="Mobile"/>
    <x v="1"/>
    <n v="0"/>
    <d v="2024-01-28T00:00:00"/>
    <n v="1"/>
  </r>
  <r>
    <s v="U926"/>
    <x v="624"/>
    <s v="2024-01-28 10:49"/>
    <x v="2"/>
    <s v="P686"/>
    <x v="0"/>
    <s v="Mobile"/>
    <x v="2"/>
    <n v="2258"/>
    <d v="2024-01-28T00:00:00"/>
    <n v="1"/>
  </r>
  <r>
    <s v="U215"/>
    <x v="625"/>
    <s v="2024-02-01 00:03"/>
    <x v="1"/>
    <s v="P906"/>
    <x v="0"/>
    <s v="Mobile"/>
    <x v="1"/>
    <n v="0"/>
    <d v="2024-02-01T00:00:00"/>
    <n v="2"/>
  </r>
  <r>
    <s v="U899"/>
    <x v="626"/>
    <s v="2024-01-06 19:51"/>
    <x v="2"/>
    <s v="P214"/>
    <x v="3"/>
    <s v="Tablet"/>
    <x v="3"/>
    <n v="3063"/>
    <d v="2024-01-06T00:00:00"/>
    <n v="1"/>
  </r>
  <r>
    <s v="U602"/>
    <x v="627"/>
    <s v="2024-01-12 10:17"/>
    <x v="2"/>
    <s v="P833"/>
    <x v="3"/>
    <s v="Tablet"/>
    <x v="4"/>
    <n v="4906"/>
    <d v="2024-01-12T00:00:00"/>
    <n v="1"/>
  </r>
  <r>
    <s v="U735"/>
    <x v="628"/>
    <s v="2024-01-24 01:43"/>
    <x v="1"/>
    <s v="P555"/>
    <x v="4"/>
    <s v="Desktop"/>
    <x v="4"/>
    <n v="0"/>
    <d v="2024-01-24T00:00:00"/>
    <n v="1"/>
  </r>
  <r>
    <s v="U165"/>
    <x v="629"/>
    <s v="2024-01-01 17:38"/>
    <x v="1"/>
    <s v="P533"/>
    <x v="2"/>
    <s v="Tablet"/>
    <x v="1"/>
    <n v="0"/>
    <d v="2024-01-01T00:00:00"/>
    <n v="1"/>
  </r>
  <r>
    <s v="U827"/>
    <x v="630"/>
    <s v="2024-01-09 04:18"/>
    <x v="0"/>
    <s v="P562"/>
    <x v="1"/>
    <s v="Desktop"/>
    <x v="2"/>
    <n v="0"/>
    <d v="2024-01-09T00:00:00"/>
    <n v="1"/>
  </r>
  <r>
    <s v="U381"/>
    <x v="631"/>
    <s v="2024-01-07 14:14"/>
    <x v="1"/>
    <s v="P524"/>
    <x v="3"/>
    <s v="Mobile"/>
    <x v="3"/>
    <n v="0"/>
    <d v="2024-01-07T00:00:00"/>
    <n v="1"/>
  </r>
  <r>
    <s v="U159"/>
    <x v="632"/>
    <s v="2024-01-31 18:48"/>
    <x v="0"/>
    <s v="P570"/>
    <x v="1"/>
    <s v="Tablet"/>
    <x v="4"/>
    <n v="0"/>
    <d v="2024-01-31T00:00:00"/>
    <n v="1"/>
  </r>
  <r>
    <s v="U173"/>
    <x v="633"/>
    <s v="2024-01-09 19:31"/>
    <x v="0"/>
    <s v="P941"/>
    <x v="2"/>
    <s v="Tablet"/>
    <x v="4"/>
    <n v="0"/>
    <d v="2024-01-09T00:00:00"/>
    <n v="1"/>
  </r>
  <r>
    <s v="U954"/>
    <x v="634"/>
    <s v="2024-01-26 03:25"/>
    <x v="1"/>
    <s v="P134"/>
    <x v="0"/>
    <s v="Tablet"/>
    <x v="4"/>
    <n v="0"/>
    <d v="2024-01-26T00:00:00"/>
    <n v="1"/>
  </r>
  <r>
    <s v="U413"/>
    <x v="635"/>
    <s v="2024-01-05 04:59"/>
    <x v="2"/>
    <s v="P842"/>
    <x v="2"/>
    <s v="Mobile"/>
    <x v="3"/>
    <n v="470"/>
    <d v="2024-01-05T00:00:00"/>
    <n v="1"/>
  </r>
  <r>
    <s v="U175"/>
    <x v="636"/>
    <s v="2024-01-02 00:44"/>
    <x v="0"/>
    <s v="P562"/>
    <x v="0"/>
    <s v="Mobile"/>
    <x v="2"/>
    <n v="0"/>
    <d v="2024-01-02T00:00:00"/>
    <n v="1"/>
  </r>
  <r>
    <s v="U598"/>
    <x v="637"/>
    <s v="2024-02-03 20:47"/>
    <x v="0"/>
    <s v="P210"/>
    <x v="0"/>
    <s v="Desktop"/>
    <x v="3"/>
    <n v="0"/>
    <d v="2024-02-03T00:00:00"/>
    <n v="2"/>
  </r>
  <r>
    <s v="U391"/>
    <x v="638"/>
    <s v="2024-01-15 12:46"/>
    <x v="0"/>
    <s v="P617"/>
    <x v="3"/>
    <s v="Tablet"/>
    <x v="2"/>
    <n v="0"/>
    <d v="2024-01-15T00:00:00"/>
    <n v="1"/>
  </r>
  <r>
    <s v="U201"/>
    <x v="639"/>
    <s v="2024-01-19 11:09"/>
    <x v="1"/>
    <s v="P633"/>
    <x v="3"/>
    <s v="Mobile"/>
    <x v="0"/>
    <n v="0"/>
    <d v="2024-01-19T00:00:00"/>
    <n v="1"/>
  </r>
  <r>
    <s v="U717"/>
    <x v="640"/>
    <s v="2024-01-30 22:58"/>
    <x v="1"/>
    <s v="P429"/>
    <x v="2"/>
    <s v="Tablet"/>
    <x v="2"/>
    <n v="0"/>
    <d v="2024-01-30T00:00:00"/>
    <n v="1"/>
  </r>
  <r>
    <s v="U516"/>
    <x v="641"/>
    <s v="2024-01-30 03:32"/>
    <x v="2"/>
    <s v="P267"/>
    <x v="3"/>
    <s v="Tablet"/>
    <x v="0"/>
    <n v="1793"/>
    <d v="2024-01-30T00:00:00"/>
    <n v="1"/>
  </r>
  <r>
    <s v="U737"/>
    <x v="642"/>
    <s v="2024-01-27 17:44"/>
    <x v="1"/>
    <s v="P163"/>
    <x v="3"/>
    <s v="Tablet"/>
    <x v="0"/>
    <n v="0"/>
    <d v="2024-01-27T00:00:00"/>
    <n v="1"/>
  </r>
  <r>
    <s v="U411"/>
    <x v="643"/>
    <s v="2024-01-27 22:59"/>
    <x v="2"/>
    <s v="P936"/>
    <x v="2"/>
    <s v="Desktop"/>
    <x v="3"/>
    <n v="1878"/>
    <d v="2024-01-27T00:00:00"/>
    <n v="1"/>
  </r>
  <r>
    <s v="U630"/>
    <x v="644"/>
    <s v="2024-02-04 10:29"/>
    <x v="2"/>
    <s v="P782"/>
    <x v="1"/>
    <s v="Desktop"/>
    <x v="1"/>
    <n v="2264"/>
    <d v="2024-02-04T00:00:00"/>
    <n v="2"/>
  </r>
  <r>
    <s v="U233"/>
    <x v="645"/>
    <s v="2024-02-03 07:23"/>
    <x v="0"/>
    <s v="P506"/>
    <x v="1"/>
    <s v="Desktop"/>
    <x v="0"/>
    <n v="0"/>
    <d v="2024-02-03T00:00:00"/>
    <n v="2"/>
  </r>
  <r>
    <s v="U872"/>
    <x v="646"/>
    <s v="2024-01-08 22:19"/>
    <x v="1"/>
    <s v="P822"/>
    <x v="3"/>
    <s v="Tablet"/>
    <x v="4"/>
    <n v="0"/>
    <d v="2024-01-08T00:00:00"/>
    <n v="1"/>
  </r>
  <r>
    <s v="U584"/>
    <x v="254"/>
    <s v="2024-01-28 14:02"/>
    <x v="0"/>
    <s v="P649"/>
    <x v="0"/>
    <s v="Desktop"/>
    <x v="3"/>
    <n v="0"/>
    <d v="2024-01-28T00:00:00"/>
    <n v="1"/>
  </r>
  <r>
    <s v="U981"/>
    <x v="647"/>
    <s v="2024-01-06 21:00"/>
    <x v="0"/>
    <s v="P824"/>
    <x v="2"/>
    <s v="Desktop"/>
    <x v="2"/>
    <n v="0"/>
    <d v="2024-01-06T00:00:00"/>
    <n v="1"/>
  </r>
  <r>
    <s v="U665"/>
    <x v="648"/>
    <s v="2024-02-02 12:34"/>
    <x v="2"/>
    <s v="P583"/>
    <x v="2"/>
    <s v="Desktop"/>
    <x v="3"/>
    <n v="3986"/>
    <d v="2024-02-02T00:00:00"/>
    <n v="2"/>
  </r>
  <r>
    <s v="U149"/>
    <x v="648"/>
    <s v="2024-01-30 12:06"/>
    <x v="0"/>
    <s v="P763"/>
    <x v="3"/>
    <s v="Mobile"/>
    <x v="3"/>
    <n v="0"/>
    <d v="2024-01-30T00:00:00"/>
    <n v="1"/>
  </r>
  <r>
    <s v="U201"/>
    <x v="649"/>
    <s v="2024-01-03 11:21"/>
    <x v="0"/>
    <s v="P233"/>
    <x v="3"/>
    <s v="Mobile"/>
    <x v="0"/>
    <n v="0"/>
    <d v="2024-01-03T00:00:00"/>
    <n v="1"/>
  </r>
  <r>
    <s v="U192"/>
    <x v="650"/>
    <s v="2024-01-04 04:13"/>
    <x v="0"/>
    <s v="P583"/>
    <x v="0"/>
    <s v="Tablet"/>
    <x v="2"/>
    <n v="0"/>
    <d v="2024-01-04T00:00:00"/>
    <n v="1"/>
  </r>
  <r>
    <s v="U685"/>
    <x v="651"/>
    <s v="2024-01-07 20:39"/>
    <x v="0"/>
    <s v="P282"/>
    <x v="4"/>
    <s v="Desktop"/>
    <x v="1"/>
    <n v="0"/>
    <d v="2024-01-07T00:00:00"/>
    <n v="1"/>
  </r>
  <r>
    <s v="U850"/>
    <x v="652"/>
    <s v="2024-01-12 07:55"/>
    <x v="1"/>
    <s v="P787"/>
    <x v="3"/>
    <s v="Mobile"/>
    <x v="1"/>
    <n v="0"/>
    <d v="2024-01-12T00:00:00"/>
    <n v="1"/>
  </r>
  <r>
    <s v="U246"/>
    <x v="653"/>
    <s v="2024-01-03 12:01"/>
    <x v="2"/>
    <s v="P705"/>
    <x v="3"/>
    <s v="Tablet"/>
    <x v="1"/>
    <n v="2585"/>
    <d v="2024-01-03T00:00:00"/>
    <n v="1"/>
  </r>
  <r>
    <s v="U100"/>
    <x v="654"/>
    <s v="2024-01-06 04:57"/>
    <x v="2"/>
    <s v="P894"/>
    <x v="3"/>
    <s v="Tablet"/>
    <x v="3"/>
    <n v="1823"/>
    <d v="2024-01-06T00:00:00"/>
    <n v="1"/>
  </r>
  <r>
    <s v="U436"/>
    <x v="655"/>
    <s v="2024-01-27 07:36"/>
    <x v="2"/>
    <s v="P598"/>
    <x v="0"/>
    <s v="Mobile"/>
    <x v="4"/>
    <n v="1845"/>
    <d v="2024-01-27T00:00:00"/>
    <n v="1"/>
  </r>
  <r>
    <s v="U219"/>
    <x v="656"/>
    <s v="2024-01-29 00:50"/>
    <x v="2"/>
    <s v="P942"/>
    <x v="0"/>
    <s v="Desktop"/>
    <x v="3"/>
    <n v="4966"/>
    <d v="2024-01-29T00:00:00"/>
    <n v="1"/>
  </r>
  <r>
    <s v="U985"/>
    <x v="657"/>
    <s v="2024-01-05 04:03"/>
    <x v="0"/>
    <s v="P994"/>
    <x v="2"/>
    <s v="Mobile"/>
    <x v="1"/>
    <n v="0"/>
    <d v="2024-01-05T00:00:00"/>
    <n v="1"/>
  </r>
  <r>
    <s v="U238"/>
    <x v="658"/>
    <s v="2024-02-03 04:30"/>
    <x v="0"/>
    <s v="P393"/>
    <x v="0"/>
    <s v="Mobile"/>
    <x v="1"/>
    <n v="0"/>
    <d v="2024-02-03T00:00:00"/>
    <n v="2"/>
  </r>
  <r>
    <s v="U916"/>
    <x v="659"/>
    <s v="2024-01-04 13:11"/>
    <x v="1"/>
    <s v="P417"/>
    <x v="1"/>
    <s v="Desktop"/>
    <x v="3"/>
    <n v="0"/>
    <d v="2024-01-04T00:00:00"/>
    <n v="1"/>
  </r>
  <r>
    <s v="U351"/>
    <x v="660"/>
    <s v="2024-01-27 18:37"/>
    <x v="2"/>
    <s v="P591"/>
    <x v="4"/>
    <s v="Mobile"/>
    <x v="2"/>
    <n v="2025"/>
    <d v="2024-01-27T00:00:00"/>
    <n v="1"/>
  </r>
  <r>
    <s v="U852"/>
    <x v="661"/>
    <s v="2024-01-26 23:22"/>
    <x v="1"/>
    <s v="P301"/>
    <x v="0"/>
    <s v="Desktop"/>
    <x v="2"/>
    <n v="0"/>
    <d v="2024-01-26T00:00:00"/>
    <n v="1"/>
  </r>
  <r>
    <s v="U713"/>
    <x v="662"/>
    <s v="2024-01-02 15:08"/>
    <x v="0"/>
    <s v="P260"/>
    <x v="0"/>
    <s v="Mobile"/>
    <x v="0"/>
    <n v="0"/>
    <d v="2024-01-02T00:00:00"/>
    <n v="1"/>
  </r>
  <r>
    <s v="U797"/>
    <x v="663"/>
    <s v="2024-01-02 15:42"/>
    <x v="0"/>
    <s v="P691"/>
    <x v="0"/>
    <s v="Desktop"/>
    <x v="1"/>
    <n v="0"/>
    <d v="2024-01-02T00:00:00"/>
    <n v="1"/>
  </r>
  <r>
    <s v="U916"/>
    <x v="664"/>
    <s v="2024-01-25 08:53"/>
    <x v="2"/>
    <s v="P255"/>
    <x v="1"/>
    <s v="Desktop"/>
    <x v="4"/>
    <n v="2221"/>
    <d v="2024-01-25T00:00:00"/>
    <n v="1"/>
  </r>
  <r>
    <s v="U279"/>
    <x v="665"/>
    <s v="2024-01-20 08:53"/>
    <x v="2"/>
    <s v="P566"/>
    <x v="2"/>
    <s v="Mobile"/>
    <x v="0"/>
    <n v="4484"/>
    <d v="2024-01-20T00:00:00"/>
    <n v="1"/>
  </r>
  <r>
    <s v="U233"/>
    <x v="666"/>
    <s v="2024-01-30 22:08"/>
    <x v="1"/>
    <s v="P971"/>
    <x v="2"/>
    <s v="Tablet"/>
    <x v="1"/>
    <n v="0"/>
    <d v="2024-01-30T00:00:00"/>
    <n v="1"/>
  </r>
  <r>
    <s v="U569"/>
    <x v="667"/>
    <s v="2024-01-16 10:30"/>
    <x v="0"/>
    <s v="P355"/>
    <x v="1"/>
    <s v="Desktop"/>
    <x v="4"/>
    <n v="0"/>
    <d v="2024-01-16T00:00:00"/>
    <n v="1"/>
  </r>
  <r>
    <s v="U681"/>
    <x v="668"/>
    <s v="2024-01-19 15:03"/>
    <x v="1"/>
    <s v="P919"/>
    <x v="0"/>
    <s v="Tablet"/>
    <x v="0"/>
    <n v="0"/>
    <d v="2024-01-19T00:00:00"/>
    <n v="1"/>
  </r>
  <r>
    <s v="U607"/>
    <x v="669"/>
    <s v="2024-01-15 00:27"/>
    <x v="1"/>
    <s v="P128"/>
    <x v="0"/>
    <s v="Tablet"/>
    <x v="0"/>
    <n v="0"/>
    <d v="2024-01-15T00:00:00"/>
    <n v="1"/>
  </r>
  <r>
    <s v="U409"/>
    <x v="670"/>
    <s v="2024-01-31 09:28"/>
    <x v="1"/>
    <s v="P200"/>
    <x v="3"/>
    <s v="Mobile"/>
    <x v="1"/>
    <n v="0"/>
    <d v="2024-01-31T00:00:00"/>
    <n v="1"/>
  </r>
  <r>
    <s v="U102"/>
    <x v="671"/>
    <s v="2024-01-21 12:16"/>
    <x v="1"/>
    <s v="P511"/>
    <x v="4"/>
    <s v="Mobile"/>
    <x v="1"/>
    <n v="0"/>
    <d v="2024-01-21T00:00:00"/>
    <n v="1"/>
  </r>
  <r>
    <s v="U640"/>
    <x v="672"/>
    <s v="2024-01-08 08:28"/>
    <x v="1"/>
    <s v="P114"/>
    <x v="0"/>
    <s v="Mobile"/>
    <x v="3"/>
    <n v="0"/>
    <d v="2024-01-08T00:00:00"/>
    <n v="1"/>
  </r>
  <r>
    <s v="U645"/>
    <x v="673"/>
    <s v="2024-01-30 08:44"/>
    <x v="2"/>
    <s v="P933"/>
    <x v="0"/>
    <s v="Mobile"/>
    <x v="2"/>
    <n v="3552"/>
    <d v="2024-01-30T00:00:00"/>
    <n v="1"/>
  </r>
  <r>
    <s v="U854"/>
    <x v="174"/>
    <s v="2024-01-08 08:06"/>
    <x v="0"/>
    <s v="P233"/>
    <x v="2"/>
    <s v="Tablet"/>
    <x v="4"/>
    <n v="0"/>
    <d v="2024-01-08T00:00:00"/>
    <n v="1"/>
  </r>
  <r>
    <s v="U812"/>
    <x v="674"/>
    <s v="2024-01-02 13:09"/>
    <x v="0"/>
    <s v="P246"/>
    <x v="0"/>
    <s v="Tablet"/>
    <x v="3"/>
    <n v="0"/>
    <d v="2024-01-02T00:00:00"/>
    <n v="1"/>
  </r>
  <r>
    <s v="U216"/>
    <x v="675"/>
    <s v="2024-01-05 02:24"/>
    <x v="2"/>
    <s v="P509"/>
    <x v="0"/>
    <s v="Mobile"/>
    <x v="1"/>
    <n v="2947"/>
    <d v="2024-01-05T00:00:00"/>
    <n v="1"/>
  </r>
  <r>
    <s v="U883"/>
    <x v="676"/>
    <s v="2024-01-21 18:31"/>
    <x v="2"/>
    <s v="P406"/>
    <x v="0"/>
    <s v="Mobile"/>
    <x v="4"/>
    <n v="2840"/>
    <d v="2024-01-21T00:00:00"/>
    <n v="1"/>
  </r>
  <r>
    <s v="U620"/>
    <x v="677"/>
    <s v="2024-01-22 19:14"/>
    <x v="1"/>
    <s v="P692"/>
    <x v="2"/>
    <s v="Desktop"/>
    <x v="2"/>
    <n v="0"/>
    <d v="2024-01-22T00:00:00"/>
    <n v="1"/>
  </r>
  <r>
    <s v="U851"/>
    <x v="678"/>
    <s v="2024-01-28 21:26"/>
    <x v="0"/>
    <s v="P369"/>
    <x v="3"/>
    <s v="Desktop"/>
    <x v="3"/>
    <n v="0"/>
    <d v="2024-01-28T00:00:00"/>
    <n v="1"/>
  </r>
  <r>
    <s v="U831"/>
    <x v="679"/>
    <s v="2024-01-22 12:46"/>
    <x v="2"/>
    <s v="P231"/>
    <x v="3"/>
    <s v="Mobile"/>
    <x v="0"/>
    <n v="4681"/>
    <d v="2024-01-22T00:00:00"/>
    <n v="1"/>
  </r>
  <r>
    <s v="U294"/>
    <x v="680"/>
    <s v="2024-01-30 19:38"/>
    <x v="2"/>
    <s v="P727"/>
    <x v="2"/>
    <s v="Mobile"/>
    <x v="2"/>
    <n v="843"/>
    <d v="2024-01-30T00:00:00"/>
    <n v="1"/>
  </r>
  <r>
    <s v="U124"/>
    <x v="681"/>
    <s v="2024-02-04 09:26"/>
    <x v="0"/>
    <s v="P726"/>
    <x v="1"/>
    <s v="Mobile"/>
    <x v="0"/>
    <n v="0"/>
    <d v="2024-02-04T00:00:00"/>
    <n v="2"/>
  </r>
  <r>
    <s v="U233"/>
    <x v="682"/>
    <s v="2024-01-08 08:20"/>
    <x v="0"/>
    <s v="P115"/>
    <x v="0"/>
    <s v="Tablet"/>
    <x v="1"/>
    <n v="0"/>
    <d v="2024-01-08T00:00:00"/>
    <n v="1"/>
  </r>
  <r>
    <s v="U266"/>
    <x v="683"/>
    <s v="2024-01-16 17:07"/>
    <x v="0"/>
    <s v="P155"/>
    <x v="1"/>
    <s v="Mobile"/>
    <x v="4"/>
    <n v="0"/>
    <d v="2024-01-16T00:00:00"/>
    <n v="1"/>
  </r>
  <r>
    <s v="U486"/>
    <x v="684"/>
    <s v="2024-01-16 00:01"/>
    <x v="0"/>
    <s v="P895"/>
    <x v="4"/>
    <s v="Mobile"/>
    <x v="3"/>
    <n v="0"/>
    <d v="2024-01-16T00:00:00"/>
    <n v="1"/>
  </r>
  <r>
    <s v="U762"/>
    <x v="685"/>
    <s v="2024-01-16 15:09"/>
    <x v="1"/>
    <s v="P942"/>
    <x v="1"/>
    <s v="Desktop"/>
    <x v="2"/>
    <n v="0"/>
    <d v="2024-01-16T00:00:00"/>
    <n v="1"/>
  </r>
  <r>
    <s v="U895"/>
    <x v="686"/>
    <s v="2024-01-27 22:28"/>
    <x v="0"/>
    <s v="P537"/>
    <x v="3"/>
    <s v="Tablet"/>
    <x v="2"/>
    <n v="0"/>
    <d v="2024-01-27T00:00:00"/>
    <n v="1"/>
  </r>
  <r>
    <s v="U816"/>
    <x v="687"/>
    <s v="2024-01-05 10:45"/>
    <x v="0"/>
    <s v="P115"/>
    <x v="0"/>
    <s v="Mobile"/>
    <x v="4"/>
    <n v="0"/>
    <d v="2024-01-05T00:00:00"/>
    <n v="1"/>
  </r>
  <r>
    <s v="U259"/>
    <x v="688"/>
    <s v="2024-01-01 17:10"/>
    <x v="2"/>
    <s v="P897"/>
    <x v="0"/>
    <s v="Desktop"/>
    <x v="1"/>
    <n v="357"/>
    <d v="2024-01-01T00:00:00"/>
    <n v="1"/>
  </r>
  <r>
    <s v="U982"/>
    <x v="689"/>
    <s v="2024-01-25 07:22"/>
    <x v="0"/>
    <s v="P699"/>
    <x v="4"/>
    <s v="Mobile"/>
    <x v="1"/>
    <n v="0"/>
    <d v="2024-01-25T00:00:00"/>
    <n v="1"/>
  </r>
  <r>
    <s v="U132"/>
    <x v="690"/>
    <s v="2024-01-17 13:06"/>
    <x v="2"/>
    <s v="P999"/>
    <x v="4"/>
    <s v="Tablet"/>
    <x v="1"/>
    <n v="753"/>
    <d v="2024-01-17T00:00:00"/>
    <n v="1"/>
  </r>
  <r>
    <s v="U873"/>
    <x v="691"/>
    <s v="2024-02-01 02:33"/>
    <x v="2"/>
    <s v="P246"/>
    <x v="4"/>
    <s v="Mobile"/>
    <x v="1"/>
    <n v="4642"/>
    <d v="2024-02-01T00:00:00"/>
    <n v="2"/>
  </r>
  <r>
    <s v="U287"/>
    <x v="692"/>
    <s v="2024-01-15 15:01"/>
    <x v="1"/>
    <s v="P751"/>
    <x v="3"/>
    <s v="Tablet"/>
    <x v="2"/>
    <n v="0"/>
    <d v="2024-01-15T00:00:00"/>
    <n v="1"/>
  </r>
  <r>
    <s v="U279"/>
    <x v="693"/>
    <s v="2024-01-16 03:36"/>
    <x v="2"/>
    <s v="P159"/>
    <x v="3"/>
    <s v="Tablet"/>
    <x v="2"/>
    <n v="3694"/>
    <d v="2024-01-16T00:00:00"/>
    <n v="1"/>
  </r>
  <r>
    <s v="U637"/>
    <x v="694"/>
    <s v="2024-01-09 22:51"/>
    <x v="0"/>
    <s v="P794"/>
    <x v="2"/>
    <s v="Mobile"/>
    <x v="2"/>
    <n v="0"/>
    <d v="2024-01-09T00:00:00"/>
    <n v="1"/>
  </r>
  <r>
    <s v="U712"/>
    <x v="695"/>
    <s v="2024-01-11 04:20"/>
    <x v="1"/>
    <s v="P245"/>
    <x v="1"/>
    <s v="Desktop"/>
    <x v="2"/>
    <n v="0"/>
    <d v="2024-01-11T00:00:00"/>
    <n v="1"/>
  </r>
  <r>
    <s v="U214"/>
    <x v="696"/>
    <s v="2024-01-24 11:36"/>
    <x v="2"/>
    <s v="P957"/>
    <x v="3"/>
    <s v="Tablet"/>
    <x v="1"/>
    <n v="4565"/>
    <d v="2024-01-24T00:00:00"/>
    <n v="1"/>
  </r>
  <r>
    <s v="U298"/>
    <x v="697"/>
    <s v="2024-01-14 22:39"/>
    <x v="1"/>
    <s v="P852"/>
    <x v="3"/>
    <s v="Mobile"/>
    <x v="0"/>
    <n v="0"/>
    <d v="2024-01-14T00:00:00"/>
    <n v="1"/>
  </r>
  <r>
    <s v="U624"/>
    <x v="698"/>
    <s v="2024-01-27 10:01"/>
    <x v="1"/>
    <s v="P505"/>
    <x v="0"/>
    <s v="Tablet"/>
    <x v="0"/>
    <n v="0"/>
    <d v="2024-01-27T00:00:00"/>
    <n v="1"/>
  </r>
  <r>
    <s v="U982"/>
    <x v="699"/>
    <s v="2024-02-03 11:14"/>
    <x v="2"/>
    <s v="P433"/>
    <x v="4"/>
    <s v="Mobile"/>
    <x v="0"/>
    <n v="543"/>
    <d v="2024-02-03T00:00:00"/>
    <n v="2"/>
  </r>
  <r>
    <s v="U544"/>
    <x v="700"/>
    <s v="2024-01-05 13:58"/>
    <x v="1"/>
    <s v="P974"/>
    <x v="3"/>
    <s v="Tablet"/>
    <x v="1"/>
    <n v="0"/>
    <d v="2024-01-05T00:00:00"/>
    <n v="1"/>
  </r>
  <r>
    <s v="U863"/>
    <x v="701"/>
    <s v="2024-01-05 03:30"/>
    <x v="2"/>
    <s v="P892"/>
    <x v="0"/>
    <s v="Desktop"/>
    <x v="0"/>
    <n v="1335"/>
    <d v="2024-01-05T00:00:00"/>
    <n v="1"/>
  </r>
  <r>
    <s v="U271"/>
    <x v="702"/>
    <s v="2024-01-13 18:12"/>
    <x v="2"/>
    <s v="P371"/>
    <x v="1"/>
    <s v="Tablet"/>
    <x v="3"/>
    <n v="3428"/>
    <d v="2024-01-13T00:00:00"/>
    <n v="1"/>
  </r>
  <r>
    <s v="U400"/>
    <x v="703"/>
    <s v="2024-01-18 11:15"/>
    <x v="1"/>
    <s v="P906"/>
    <x v="1"/>
    <s v="Tablet"/>
    <x v="4"/>
    <n v="0"/>
    <d v="2024-01-18T00:00:00"/>
    <n v="1"/>
  </r>
  <r>
    <s v="U583"/>
    <x v="704"/>
    <s v="2024-01-03 14:30"/>
    <x v="1"/>
    <s v="P893"/>
    <x v="2"/>
    <s v="Desktop"/>
    <x v="4"/>
    <n v="0"/>
    <d v="2024-01-03T00:00:00"/>
    <n v="1"/>
  </r>
  <r>
    <s v="U581"/>
    <x v="705"/>
    <s v="2024-01-13 14:52"/>
    <x v="2"/>
    <s v="P725"/>
    <x v="4"/>
    <s v="Desktop"/>
    <x v="1"/>
    <n v="2777"/>
    <d v="2024-01-13T00:00:00"/>
    <n v="1"/>
  </r>
  <r>
    <s v="U275"/>
    <x v="706"/>
    <s v="2024-01-29 02:05"/>
    <x v="2"/>
    <s v="P153"/>
    <x v="3"/>
    <s v="Mobile"/>
    <x v="1"/>
    <n v="1053"/>
    <d v="2024-01-29T00:00:00"/>
    <n v="1"/>
  </r>
  <r>
    <s v="U995"/>
    <x v="707"/>
    <s v="2024-01-07 13:49"/>
    <x v="0"/>
    <s v="P324"/>
    <x v="4"/>
    <s v="Mobile"/>
    <x v="0"/>
    <n v="0"/>
    <d v="2024-01-07T00:00:00"/>
    <n v="1"/>
  </r>
  <r>
    <s v="U357"/>
    <x v="230"/>
    <s v="2024-01-13 17:15"/>
    <x v="1"/>
    <s v="P672"/>
    <x v="0"/>
    <s v="Desktop"/>
    <x v="3"/>
    <n v="0"/>
    <d v="2024-01-13T00:00:00"/>
    <n v="1"/>
  </r>
  <r>
    <s v="U271"/>
    <x v="708"/>
    <s v="2024-01-06 12:59"/>
    <x v="1"/>
    <s v="P813"/>
    <x v="1"/>
    <s v="Tablet"/>
    <x v="2"/>
    <n v="0"/>
    <d v="2024-01-06T00:00:00"/>
    <n v="1"/>
  </r>
  <r>
    <s v="U191"/>
    <x v="709"/>
    <s v="2024-01-18 17:54"/>
    <x v="0"/>
    <s v="P621"/>
    <x v="1"/>
    <s v="Mobile"/>
    <x v="0"/>
    <n v="0"/>
    <d v="2024-01-18T00:00:00"/>
    <n v="1"/>
  </r>
  <r>
    <s v="U143"/>
    <x v="710"/>
    <s v="2024-01-08 05:00"/>
    <x v="0"/>
    <s v="P882"/>
    <x v="1"/>
    <s v="Desktop"/>
    <x v="1"/>
    <n v="0"/>
    <d v="2024-01-08T00:00:00"/>
    <n v="1"/>
  </r>
  <r>
    <s v="U801"/>
    <x v="711"/>
    <s v="2024-02-02 12:07"/>
    <x v="1"/>
    <s v="P362"/>
    <x v="0"/>
    <s v="Desktop"/>
    <x v="1"/>
    <n v="0"/>
    <d v="2024-02-02T00:00:00"/>
    <n v="2"/>
  </r>
  <r>
    <s v="U634"/>
    <x v="712"/>
    <s v="2024-01-08 01:15"/>
    <x v="2"/>
    <s v="P315"/>
    <x v="4"/>
    <s v="Desktop"/>
    <x v="2"/>
    <n v="540"/>
    <d v="2024-01-08T00:00:00"/>
    <n v="1"/>
  </r>
  <r>
    <s v="U368"/>
    <x v="713"/>
    <s v="2024-01-11 21:11"/>
    <x v="0"/>
    <s v="P914"/>
    <x v="3"/>
    <s v="Desktop"/>
    <x v="2"/>
    <n v="0"/>
    <d v="2024-01-11T00:00:00"/>
    <n v="1"/>
  </r>
  <r>
    <s v="U388"/>
    <x v="714"/>
    <s v="2024-01-23 18:21"/>
    <x v="1"/>
    <s v="P611"/>
    <x v="4"/>
    <s v="Desktop"/>
    <x v="0"/>
    <n v="0"/>
    <d v="2024-01-23T00:00:00"/>
    <n v="1"/>
  </r>
  <r>
    <s v="U819"/>
    <x v="715"/>
    <s v="2024-01-30 15:54"/>
    <x v="1"/>
    <s v="P991"/>
    <x v="3"/>
    <s v="Mobile"/>
    <x v="2"/>
    <n v="0"/>
    <d v="2024-01-30T00:00:00"/>
    <n v="1"/>
  </r>
  <r>
    <s v="U844"/>
    <x v="716"/>
    <s v="2024-01-08 06:48"/>
    <x v="2"/>
    <s v="P566"/>
    <x v="4"/>
    <s v="Mobile"/>
    <x v="2"/>
    <n v="608"/>
    <d v="2024-01-08T00:00:00"/>
    <n v="1"/>
  </r>
  <r>
    <s v="U123"/>
    <x v="717"/>
    <s v="2024-02-03 15:22"/>
    <x v="2"/>
    <s v="P337"/>
    <x v="0"/>
    <s v="Desktop"/>
    <x v="4"/>
    <n v="471"/>
    <d v="2024-02-03T00:00:00"/>
    <n v="2"/>
  </r>
  <r>
    <s v="U204"/>
    <x v="718"/>
    <s v="2024-02-03 02:37"/>
    <x v="2"/>
    <s v="P533"/>
    <x v="4"/>
    <s v="Desktop"/>
    <x v="1"/>
    <n v="4613"/>
    <d v="2024-02-03T00:00:00"/>
    <n v="2"/>
  </r>
  <r>
    <s v="U820"/>
    <x v="719"/>
    <s v="2024-01-14 05:14"/>
    <x v="0"/>
    <s v="P659"/>
    <x v="1"/>
    <s v="Desktop"/>
    <x v="4"/>
    <n v="0"/>
    <d v="2024-01-14T00:00:00"/>
    <n v="1"/>
  </r>
  <r>
    <s v="U269"/>
    <x v="720"/>
    <s v="2024-02-02 11:54"/>
    <x v="2"/>
    <s v="P898"/>
    <x v="0"/>
    <s v="Desktop"/>
    <x v="0"/>
    <n v="4865"/>
    <d v="2024-02-02T00:00:00"/>
    <n v="2"/>
  </r>
  <r>
    <s v="U360"/>
    <x v="721"/>
    <s v="2024-01-11 03:57"/>
    <x v="1"/>
    <s v="P144"/>
    <x v="2"/>
    <s v="Mobile"/>
    <x v="4"/>
    <n v="0"/>
    <d v="2024-01-11T00:00:00"/>
    <n v="1"/>
  </r>
  <r>
    <s v="U621"/>
    <x v="722"/>
    <s v="2024-01-22 12:13"/>
    <x v="2"/>
    <s v="P594"/>
    <x v="3"/>
    <s v="Mobile"/>
    <x v="1"/>
    <n v="2100"/>
    <d v="2024-01-22T00:00:00"/>
    <n v="1"/>
  </r>
  <r>
    <s v="U130"/>
    <x v="723"/>
    <s v="2024-01-07 21:44"/>
    <x v="0"/>
    <s v="P754"/>
    <x v="1"/>
    <s v="Desktop"/>
    <x v="1"/>
    <n v="0"/>
    <d v="2024-01-07T00:00:00"/>
    <n v="1"/>
  </r>
  <r>
    <s v="U185"/>
    <x v="724"/>
    <s v="2024-01-14 22:32"/>
    <x v="0"/>
    <s v="P901"/>
    <x v="1"/>
    <s v="Tablet"/>
    <x v="4"/>
    <n v="0"/>
    <d v="2024-01-14T00:00:00"/>
    <n v="1"/>
  </r>
  <r>
    <s v="U430"/>
    <x v="725"/>
    <s v="2024-01-11 12:23"/>
    <x v="1"/>
    <s v="P761"/>
    <x v="3"/>
    <s v="Mobile"/>
    <x v="2"/>
    <n v="0"/>
    <d v="2024-01-11T00:00:00"/>
    <n v="1"/>
  </r>
  <r>
    <s v="U487"/>
    <x v="726"/>
    <s v="2024-01-28 13:43"/>
    <x v="0"/>
    <s v="P150"/>
    <x v="4"/>
    <s v="Tablet"/>
    <x v="0"/>
    <n v="0"/>
    <d v="2024-01-28T00:00:00"/>
    <n v="1"/>
  </r>
  <r>
    <s v="U940"/>
    <x v="330"/>
    <s v="2024-01-01 23:08"/>
    <x v="1"/>
    <s v="P148"/>
    <x v="1"/>
    <s v="Mobile"/>
    <x v="1"/>
    <n v="0"/>
    <d v="2024-01-01T00:00:00"/>
    <n v="1"/>
  </r>
  <r>
    <s v="U621"/>
    <x v="727"/>
    <s v="2024-01-26 01:04"/>
    <x v="2"/>
    <s v="P114"/>
    <x v="4"/>
    <s v="Tablet"/>
    <x v="2"/>
    <n v="2647"/>
    <d v="2024-01-26T00:00:00"/>
    <n v="1"/>
  </r>
  <r>
    <s v="U136"/>
    <x v="728"/>
    <s v="2024-01-28 16:49"/>
    <x v="1"/>
    <s v="P577"/>
    <x v="0"/>
    <s v="Desktop"/>
    <x v="2"/>
    <n v="0"/>
    <d v="2024-01-28T00:00:00"/>
    <n v="1"/>
  </r>
  <r>
    <s v="U481"/>
    <x v="729"/>
    <s v="2024-01-08 05:02"/>
    <x v="2"/>
    <s v="P958"/>
    <x v="3"/>
    <s v="Desktop"/>
    <x v="4"/>
    <n v="4781"/>
    <d v="2024-01-08T00:00:00"/>
    <n v="1"/>
  </r>
  <r>
    <s v="U735"/>
    <x v="730"/>
    <s v="2024-01-13 18:35"/>
    <x v="2"/>
    <s v="P340"/>
    <x v="1"/>
    <s v="Tablet"/>
    <x v="3"/>
    <n v="3450"/>
    <d v="2024-01-13T00:00:00"/>
    <n v="1"/>
  </r>
  <r>
    <s v="U644"/>
    <x v="731"/>
    <s v="2024-02-03 07:08"/>
    <x v="2"/>
    <s v="P233"/>
    <x v="1"/>
    <s v="Mobile"/>
    <x v="0"/>
    <n v="422"/>
    <d v="2024-02-03T00:00:00"/>
    <n v="2"/>
  </r>
  <r>
    <s v="U738"/>
    <x v="732"/>
    <s v="2024-01-24 01:08"/>
    <x v="1"/>
    <s v="P171"/>
    <x v="4"/>
    <s v="Tablet"/>
    <x v="4"/>
    <n v="0"/>
    <d v="2024-01-24T00:00:00"/>
    <n v="1"/>
  </r>
  <r>
    <s v="U583"/>
    <x v="733"/>
    <s v="2024-01-13 06:49"/>
    <x v="1"/>
    <s v="P227"/>
    <x v="0"/>
    <s v="Tablet"/>
    <x v="0"/>
    <n v="0"/>
    <d v="2024-01-13T00:00:00"/>
    <n v="1"/>
  </r>
  <r>
    <s v="U587"/>
    <x v="521"/>
    <s v="2024-01-17 05:13"/>
    <x v="0"/>
    <s v="P251"/>
    <x v="3"/>
    <s v="Mobile"/>
    <x v="0"/>
    <n v="0"/>
    <d v="2024-01-17T00:00:00"/>
    <n v="1"/>
  </r>
  <r>
    <s v="U466"/>
    <x v="734"/>
    <s v="2024-01-30 21:55"/>
    <x v="0"/>
    <s v="P590"/>
    <x v="0"/>
    <s v="Mobile"/>
    <x v="4"/>
    <n v="0"/>
    <d v="2024-01-30T00:00:00"/>
    <n v="1"/>
  </r>
  <r>
    <s v="U320"/>
    <x v="735"/>
    <s v="2024-01-16 01:11"/>
    <x v="0"/>
    <s v="P637"/>
    <x v="2"/>
    <s v="Desktop"/>
    <x v="0"/>
    <n v="0"/>
    <d v="2024-01-16T00:00:00"/>
    <n v="1"/>
  </r>
  <r>
    <s v="U828"/>
    <x v="736"/>
    <s v="2024-01-15 12:38"/>
    <x v="1"/>
    <s v="P101"/>
    <x v="3"/>
    <s v="Mobile"/>
    <x v="1"/>
    <n v="0"/>
    <d v="2024-01-15T00:00:00"/>
    <n v="1"/>
  </r>
  <r>
    <s v="U796"/>
    <x v="737"/>
    <s v="2024-01-29 18:16"/>
    <x v="0"/>
    <s v="P502"/>
    <x v="4"/>
    <s v="Desktop"/>
    <x v="4"/>
    <n v="0"/>
    <d v="2024-01-29T00:00:00"/>
    <n v="1"/>
  </r>
  <r>
    <s v="U997"/>
    <x v="738"/>
    <s v="2024-01-09 04:24"/>
    <x v="0"/>
    <s v="P467"/>
    <x v="3"/>
    <s v="Mobile"/>
    <x v="3"/>
    <n v="0"/>
    <d v="2024-01-09T00:00:00"/>
    <n v="1"/>
  </r>
  <r>
    <s v="U858"/>
    <x v="739"/>
    <s v="2024-01-05 03:39"/>
    <x v="2"/>
    <s v="P374"/>
    <x v="4"/>
    <s v="Desktop"/>
    <x v="0"/>
    <n v="991"/>
    <d v="2024-01-05T00:00:00"/>
    <n v="1"/>
  </r>
  <r>
    <s v="U925"/>
    <x v="740"/>
    <s v="2024-01-11 18:04"/>
    <x v="1"/>
    <s v="P619"/>
    <x v="4"/>
    <s v="Tablet"/>
    <x v="2"/>
    <n v="0"/>
    <d v="2024-01-11T00:00:00"/>
    <n v="1"/>
  </r>
  <r>
    <s v="U713"/>
    <x v="741"/>
    <s v="2024-01-21 00:17"/>
    <x v="1"/>
    <s v="P329"/>
    <x v="2"/>
    <s v="Mobile"/>
    <x v="0"/>
    <n v="0"/>
    <d v="2024-01-21T00:00:00"/>
    <n v="1"/>
  </r>
  <r>
    <s v="U511"/>
    <x v="742"/>
    <s v="2024-01-09 16:56"/>
    <x v="0"/>
    <s v="P210"/>
    <x v="1"/>
    <s v="Mobile"/>
    <x v="0"/>
    <n v="0"/>
    <d v="2024-01-09T00:00:00"/>
    <n v="1"/>
  </r>
  <r>
    <s v="U431"/>
    <x v="743"/>
    <s v="2024-01-11 07:19"/>
    <x v="0"/>
    <s v="P520"/>
    <x v="3"/>
    <s v="Mobile"/>
    <x v="3"/>
    <n v="0"/>
    <d v="2024-01-11T00:00:00"/>
    <n v="1"/>
  </r>
  <r>
    <s v="U503"/>
    <x v="744"/>
    <s v="2024-01-24 11:50"/>
    <x v="2"/>
    <s v="P793"/>
    <x v="2"/>
    <s v="Mobile"/>
    <x v="4"/>
    <n v="3822"/>
    <d v="2024-01-24T00:00:00"/>
    <n v="1"/>
  </r>
  <r>
    <s v="U525"/>
    <x v="745"/>
    <s v="2024-02-03 04:32"/>
    <x v="2"/>
    <s v="P952"/>
    <x v="1"/>
    <s v="Mobile"/>
    <x v="0"/>
    <n v="3372"/>
    <d v="2024-02-03T00:00:00"/>
    <n v="2"/>
  </r>
  <r>
    <s v="U100"/>
    <x v="746"/>
    <s v="2024-01-18 23:09"/>
    <x v="1"/>
    <s v="P411"/>
    <x v="3"/>
    <s v="Tablet"/>
    <x v="4"/>
    <n v="0"/>
    <d v="2024-01-18T00:00:00"/>
    <n v="1"/>
  </r>
  <r>
    <s v="U987"/>
    <x v="747"/>
    <s v="2024-01-19 05:49"/>
    <x v="1"/>
    <s v="P614"/>
    <x v="0"/>
    <s v="Desktop"/>
    <x v="1"/>
    <n v="0"/>
    <d v="2024-01-19T00:00:00"/>
    <n v="1"/>
  </r>
  <r>
    <s v="U612"/>
    <x v="748"/>
    <s v="2024-01-27 04:27"/>
    <x v="2"/>
    <s v="P440"/>
    <x v="2"/>
    <s v="Mobile"/>
    <x v="4"/>
    <n v="3020"/>
    <d v="2024-01-27T00:00:00"/>
    <n v="1"/>
  </r>
  <r>
    <s v="U476"/>
    <x v="749"/>
    <s v="2024-01-20 18:36"/>
    <x v="1"/>
    <s v="P163"/>
    <x v="1"/>
    <s v="Mobile"/>
    <x v="3"/>
    <n v="0"/>
    <d v="2024-01-20T00:00:00"/>
    <n v="1"/>
  </r>
  <r>
    <s v="U385"/>
    <x v="750"/>
    <s v="2024-01-12 16:05"/>
    <x v="1"/>
    <s v="P681"/>
    <x v="0"/>
    <s v="Mobile"/>
    <x v="4"/>
    <n v="0"/>
    <d v="2024-01-12T00:00:00"/>
    <n v="1"/>
  </r>
  <r>
    <s v="U129"/>
    <x v="751"/>
    <s v="2024-01-23 02:32"/>
    <x v="0"/>
    <s v="P887"/>
    <x v="2"/>
    <s v="Mobile"/>
    <x v="2"/>
    <n v="0"/>
    <d v="2024-01-23T00:00:00"/>
    <n v="1"/>
  </r>
  <r>
    <s v="U648"/>
    <x v="752"/>
    <s v="2024-01-06 00:33"/>
    <x v="0"/>
    <s v="P567"/>
    <x v="3"/>
    <s v="Mobile"/>
    <x v="2"/>
    <n v="0"/>
    <d v="2024-01-06T00:00:00"/>
    <n v="1"/>
  </r>
  <r>
    <s v="U139"/>
    <x v="753"/>
    <s v="2024-01-29 10:30"/>
    <x v="0"/>
    <s v="P251"/>
    <x v="4"/>
    <s v="Mobile"/>
    <x v="1"/>
    <n v="0"/>
    <d v="2024-01-29T00:00:00"/>
    <n v="1"/>
  </r>
  <r>
    <s v="U878"/>
    <x v="754"/>
    <s v="2024-01-12 02:30"/>
    <x v="1"/>
    <s v="P962"/>
    <x v="1"/>
    <s v="Mobile"/>
    <x v="0"/>
    <n v="0"/>
    <d v="2024-01-12T00:00:00"/>
    <n v="1"/>
  </r>
  <r>
    <s v="U744"/>
    <x v="755"/>
    <s v="2024-02-02 20:06"/>
    <x v="2"/>
    <s v="P343"/>
    <x v="0"/>
    <s v="Tablet"/>
    <x v="2"/>
    <n v="4469"/>
    <d v="2024-02-02T00:00:00"/>
    <n v="2"/>
  </r>
  <r>
    <s v="U142"/>
    <x v="756"/>
    <s v="2024-01-16 20:11"/>
    <x v="1"/>
    <s v="P402"/>
    <x v="4"/>
    <s v="Tablet"/>
    <x v="2"/>
    <n v="0"/>
    <d v="2024-01-16T00:00:00"/>
    <n v="1"/>
  </r>
  <r>
    <s v="U229"/>
    <x v="757"/>
    <s v="2024-01-25 15:23"/>
    <x v="2"/>
    <s v="P624"/>
    <x v="2"/>
    <s v="Desktop"/>
    <x v="3"/>
    <n v="3825"/>
    <d v="2024-01-25T00:00:00"/>
    <n v="1"/>
  </r>
  <r>
    <s v="U924"/>
    <x v="758"/>
    <s v="2024-01-14 02:57"/>
    <x v="0"/>
    <s v="P101"/>
    <x v="4"/>
    <s v="Tablet"/>
    <x v="4"/>
    <n v="0"/>
    <d v="2024-01-14T00:00:00"/>
    <n v="1"/>
  </r>
  <r>
    <s v="U365"/>
    <x v="759"/>
    <s v="2024-01-24 10:58"/>
    <x v="0"/>
    <s v="P844"/>
    <x v="4"/>
    <s v="Tablet"/>
    <x v="2"/>
    <n v="0"/>
    <d v="2024-01-24T00:00:00"/>
    <n v="1"/>
  </r>
  <r>
    <s v="U331"/>
    <x v="760"/>
    <s v="2024-01-16 02:02"/>
    <x v="2"/>
    <s v="P965"/>
    <x v="2"/>
    <s v="Mobile"/>
    <x v="1"/>
    <n v="4596"/>
    <d v="2024-01-16T00:00:00"/>
    <n v="1"/>
  </r>
  <r>
    <s v="U855"/>
    <x v="761"/>
    <s v="2024-02-04 09:36"/>
    <x v="2"/>
    <s v="P264"/>
    <x v="0"/>
    <s v="Tablet"/>
    <x v="2"/>
    <n v="4733"/>
    <d v="2024-02-04T00:00:00"/>
    <n v="2"/>
  </r>
  <r>
    <s v="U909"/>
    <x v="762"/>
    <s v="2024-01-29 11:05"/>
    <x v="2"/>
    <s v="P758"/>
    <x v="2"/>
    <s v="Desktop"/>
    <x v="0"/>
    <n v="3991"/>
    <d v="2024-01-29T00:00:00"/>
    <n v="1"/>
  </r>
  <r>
    <s v="U845"/>
    <x v="763"/>
    <s v="2024-01-27 13:44"/>
    <x v="2"/>
    <s v="P483"/>
    <x v="1"/>
    <s v="Mobile"/>
    <x v="3"/>
    <n v="506"/>
    <d v="2024-01-27T00:00:00"/>
    <n v="1"/>
  </r>
  <r>
    <s v="U577"/>
    <x v="764"/>
    <s v="2024-01-21 15:10"/>
    <x v="2"/>
    <s v="P923"/>
    <x v="1"/>
    <s v="Tablet"/>
    <x v="0"/>
    <n v="2990"/>
    <d v="2024-01-21T00:00:00"/>
    <n v="1"/>
  </r>
  <r>
    <s v="U460"/>
    <x v="765"/>
    <s v="2024-01-11 06:58"/>
    <x v="1"/>
    <s v="P250"/>
    <x v="1"/>
    <s v="Tablet"/>
    <x v="0"/>
    <n v="0"/>
    <d v="2024-01-11T00:00:00"/>
    <n v="1"/>
  </r>
  <r>
    <s v="U778"/>
    <x v="766"/>
    <s v="2024-01-24 09:20"/>
    <x v="0"/>
    <s v="P523"/>
    <x v="2"/>
    <s v="Mobile"/>
    <x v="2"/>
    <n v="0"/>
    <d v="2024-01-24T00:00:00"/>
    <n v="1"/>
  </r>
  <r>
    <s v="U970"/>
    <x v="124"/>
    <s v="2024-01-10 08:47"/>
    <x v="0"/>
    <s v="P854"/>
    <x v="3"/>
    <s v="Mobile"/>
    <x v="0"/>
    <n v="0"/>
    <d v="2024-01-10T00:00:00"/>
    <n v="1"/>
  </r>
  <r>
    <s v="U893"/>
    <x v="767"/>
    <s v="2024-01-08 20:41"/>
    <x v="2"/>
    <s v="P104"/>
    <x v="1"/>
    <s v="Desktop"/>
    <x v="1"/>
    <n v="553"/>
    <d v="2024-01-08T00:00:00"/>
    <n v="1"/>
  </r>
  <r>
    <s v="U152"/>
    <x v="768"/>
    <s v="2024-01-02 00:00"/>
    <x v="2"/>
    <s v="P820"/>
    <x v="3"/>
    <s v="Mobile"/>
    <x v="1"/>
    <n v="3775"/>
    <d v="2024-01-02T00:00:00"/>
    <n v="1"/>
  </r>
  <r>
    <s v="U172"/>
    <x v="769"/>
    <s v="2024-01-09 11:10"/>
    <x v="1"/>
    <s v="P168"/>
    <x v="3"/>
    <s v="Tablet"/>
    <x v="1"/>
    <n v="0"/>
    <d v="2024-01-09T00:00:00"/>
    <n v="1"/>
  </r>
  <r>
    <s v="U786"/>
    <x v="770"/>
    <s v="2024-01-18 23:50"/>
    <x v="2"/>
    <s v="P677"/>
    <x v="4"/>
    <s v="Tablet"/>
    <x v="2"/>
    <n v="3663"/>
    <d v="2024-01-18T00:00:00"/>
    <n v="1"/>
  </r>
  <r>
    <s v="U704"/>
    <x v="771"/>
    <s v="2024-02-02 11:48"/>
    <x v="2"/>
    <s v="P111"/>
    <x v="2"/>
    <s v="Desktop"/>
    <x v="3"/>
    <n v="2943"/>
    <d v="2024-02-02T00:00:00"/>
    <n v="2"/>
  </r>
  <r>
    <s v="U977"/>
    <x v="772"/>
    <s v="2024-01-31 08:55"/>
    <x v="2"/>
    <s v="P471"/>
    <x v="1"/>
    <s v="Desktop"/>
    <x v="3"/>
    <n v="3097"/>
    <d v="2024-01-31T00:00:00"/>
    <n v="1"/>
  </r>
  <r>
    <s v="U525"/>
    <x v="773"/>
    <s v="2024-02-01 19:38"/>
    <x v="1"/>
    <s v="P251"/>
    <x v="0"/>
    <s v="Tablet"/>
    <x v="2"/>
    <n v="0"/>
    <d v="2024-02-01T00:00:00"/>
    <n v="2"/>
  </r>
  <r>
    <s v="U853"/>
    <x v="774"/>
    <s v="2024-01-07 04:42"/>
    <x v="0"/>
    <s v="P792"/>
    <x v="2"/>
    <s v="Mobile"/>
    <x v="0"/>
    <n v="0"/>
    <d v="2024-01-07T00:00:00"/>
    <n v="1"/>
  </r>
  <r>
    <s v="U428"/>
    <x v="775"/>
    <s v="2024-01-13 16:00"/>
    <x v="0"/>
    <s v="P701"/>
    <x v="1"/>
    <s v="Tablet"/>
    <x v="1"/>
    <n v="0"/>
    <d v="2024-01-13T00:00:00"/>
    <n v="1"/>
  </r>
  <r>
    <s v="U635"/>
    <x v="776"/>
    <s v="2024-01-03 08:49"/>
    <x v="0"/>
    <s v="P851"/>
    <x v="4"/>
    <s v="Mobile"/>
    <x v="3"/>
    <n v="0"/>
    <d v="2024-01-03T00:00:00"/>
    <n v="1"/>
  </r>
  <r>
    <s v="U745"/>
    <x v="777"/>
    <s v="2024-02-03 13:36"/>
    <x v="0"/>
    <s v="P600"/>
    <x v="2"/>
    <s v="Mobile"/>
    <x v="2"/>
    <n v="0"/>
    <d v="2024-02-03T00:00:00"/>
    <n v="2"/>
  </r>
  <r>
    <s v="U457"/>
    <x v="778"/>
    <s v="2024-01-12 19:24"/>
    <x v="2"/>
    <s v="P498"/>
    <x v="3"/>
    <s v="Tablet"/>
    <x v="4"/>
    <n v="3497"/>
    <d v="2024-01-12T00:00:00"/>
    <n v="1"/>
  </r>
  <r>
    <s v="U270"/>
    <x v="779"/>
    <s v="2024-01-19 23:00"/>
    <x v="2"/>
    <s v="P456"/>
    <x v="2"/>
    <s v="Desktop"/>
    <x v="4"/>
    <n v="3035"/>
    <d v="2024-01-19T00:00:00"/>
    <n v="1"/>
  </r>
  <r>
    <s v="U696"/>
    <x v="780"/>
    <s v="2024-01-19 01:43"/>
    <x v="2"/>
    <s v="P161"/>
    <x v="1"/>
    <s v="Desktop"/>
    <x v="1"/>
    <n v="388"/>
    <d v="2024-01-19T00:00:00"/>
    <n v="1"/>
  </r>
  <r>
    <s v="U167"/>
    <x v="495"/>
    <s v="2024-01-16 07:21"/>
    <x v="0"/>
    <s v="P785"/>
    <x v="3"/>
    <s v="Mobile"/>
    <x v="2"/>
    <n v="0"/>
    <d v="2024-01-16T00:00:00"/>
    <n v="1"/>
  </r>
  <r>
    <s v="U846"/>
    <x v="781"/>
    <s v="2024-02-01 07:19"/>
    <x v="1"/>
    <s v="P401"/>
    <x v="3"/>
    <s v="Tablet"/>
    <x v="2"/>
    <n v="0"/>
    <d v="2024-02-01T00:00:00"/>
    <n v="2"/>
  </r>
  <r>
    <s v="U155"/>
    <x v="782"/>
    <s v="2024-02-01 00:04"/>
    <x v="1"/>
    <s v="P119"/>
    <x v="4"/>
    <s v="Tablet"/>
    <x v="1"/>
    <n v="0"/>
    <d v="2024-02-01T00:00:00"/>
    <n v="2"/>
  </r>
  <r>
    <s v="U715"/>
    <x v="783"/>
    <s v="2024-01-16 10:10"/>
    <x v="0"/>
    <s v="P734"/>
    <x v="2"/>
    <s v="Desktop"/>
    <x v="4"/>
    <n v="0"/>
    <d v="2024-01-16T00:00:00"/>
    <n v="1"/>
  </r>
  <r>
    <s v="U349"/>
    <x v="784"/>
    <s v="2024-01-21 18:17"/>
    <x v="0"/>
    <s v="P960"/>
    <x v="4"/>
    <s v="Mobile"/>
    <x v="0"/>
    <n v="0"/>
    <d v="2024-01-21T00:00:00"/>
    <n v="1"/>
  </r>
  <r>
    <s v="U319"/>
    <x v="785"/>
    <s v="2024-01-27 10:15"/>
    <x v="2"/>
    <s v="P457"/>
    <x v="0"/>
    <s v="Tablet"/>
    <x v="4"/>
    <n v="3540"/>
    <d v="2024-01-27T00:00:00"/>
    <n v="1"/>
  </r>
  <r>
    <s v="U759"/>
    <x v="786"/>
    <s v="2024-01-16 00:43"/>
    <x v="0"/>
    <s v="P863"/>
    <x v="2"/>
    <s v="Desktop"/>
    <x v="0"/>
    <n v="0"/>
    <d v="2024-01-16T00:00:00"/>
    <n v="1"/>
  </r>
  <r>
    <s v="U999"/>
    <x v="787"/>
    <s v="2024-01-27 05:54"/>
    <x v="2"/>
    <s v="P393"/>
    <x v="0"/>
    <s v="Tablet"/>
    <x v="4"/>
    <n v="2345"/>
    <d v="2024-01-27T00:00:00"/>
    <n v="1"/>
  </r>
  <r>
    <s v="U623"/>
    <x v="788"/>
    <s v="2024-01-28 13:12"/>
    <x v="0"/>
    <s v="P750"/>
    <x v="4"/>
    <s v="Desktop"/>
    <x v="2"/>
    <n v="0"/>
    <d v="2024-01-28T00:00:00"/>
    <n v="1"/>
  </r>
  <r>
    <s v="U121"/>
    <x v="789"/>
    <s v="2024-01-05 06:21"/>
    <x v="1"/>
    <s v="P177"/>
    <x v="4"/>
    <s v="Mobile"/>
    <x v="4"/>
    <n v="0"/>
    <d v="2024-01-05T00:00:00"/>
    <n v="1"/>
  </r>
  <r>
    <s v="U427"/>
    <x v="790"/>
    <s v="2024-01-12 18:23"/>
    <x v="2"/>
    <s v="P646"/>
    <x v="2"/>
    <s v="Mobile"/>
    <x v="1"/>
    <n v="4992"/>
    <d v="2024-01-12T00:00:00"/>
    <n v="1"/>
  </r>
  <r>
    <s v="U498"/>
    <x v="791"/>
    <s v="2024-01-27 14:21"/>
    <x v="2"/>
    <s v="P613"/>
    <x v="4"/>
    <s v="Mobile"/>
    <x v="4"/>
    <n v="1964"/>
    <d v="2024-01-27T00:00:00"/>
    <n v="1"/>
  </r>
  <r>
    <s v="U145"/>
    <x v="792"/>
    <s v="2024-01-27 08:24"/>
    <x v="1"/>
    <s v="P940"/>
    <x v="0"/>
    <s v="Desktop"/>
    <x v="3"/>
    <n v="0"/>
    <d v="2024-01-27T00:00:00"/>
    <n v="1"/>
  </r>
  <r>
    <s v="U176"/>
    <x v="793"/>
    <s v="2024-01-15 20:57"/>
    <x v="1"/>
    <s v="P794"/>
    <x v="4"/>
    <s v="Tablet"/>
    <x v="1"/>
    <n v="0"/>
    <d v="2024-01-15T00:00:00"/>
    <n v="1"/>
  </r>
  <r>
    <s v="U701"/>
    <x v="794"/>
    <s v="2024-01-06 00:37"/>
    <x v="1"/>
    <s v="P256"/>
    <x v="0"/>
    <s v="Desktop"/>
    <x v="4"/>
    <n v="0"/>
    <d v="2024-01-06T00:00:00"/>
    <n v="1"/>
  </r>
  <r>
    <s v="U767"/>
    <x v="795"/>
    <s v="2024-01-17 02:16"/>
    <x v="2"/>
    <s v="P842"/>
    <x v="0"/>
    <s v="Mobile"/>
    <x v="2"/>
    <n v="2686"/>
    <d v="2024-01-17T00:00:00"/>
    <n v="1"/>
  </r>
  <r>
    <s v="U280"/>
    <x v="796"/>
    <s v="2024-01-09 13:59"/>
    <x v="1"/>
    <s v="P299"/>
    <x v="3"/>
    <s v="Mobile"/>
    <x v="0"/>
    <n v="0"/>
    <d v="2024-01-09T00:00:00"/>
    <n v="1"/>
  </r>
  <r>
    <s v="U339"/>
    <x v="797"/>
    <s v="2024-01-06 08:42"/>
    <x v="1"/>
    <s v="P465"/>
    <x v="1"/>
    <s v="Desktop"/>
    <x v="1"/>
    <n v="0"/>
    <d v="2024-01-06T00:00:00"/>
    <n v="1"/>
  </r>
  <r>
    <s v="U957"/>
    <x v="798"/>
    <s v="2024-01-10 00:01"/>
    <x v="1"/>
    <s v="P522"/>
    <x v="2"/>
    <s v="Tablet"/>
    <x v="0"/>
    <n v="0"/>
    <d v="2024-01-10T00:00:00"/>
    <n v="1"/>
  </r>
  <r>
    <s v="U980"/>
    <x v="799"/>
    <s v="2024-01-11 16:53"/>
    <x v="2"/>
    <s v="P270"/>
    <x v="2"/>
    <s v="Mobile"/>
    <x v="1"/>
    <n v="1355"/>
    <d v="2024-01-11T00:00:00"/>
    <n v="1"/>
  </r>
  <r>
    <s v="U169"/>
    <x v="800"/>
    <s v="2024-02-01 18:02"/>
    <x v="1"/>
    <s v="P662"/>
    <x v="0"/>
    <s v="Tablet"/>
    <x v="1"/>
    <n v="0"/>
    <d v="2024-02-01T00:00:00"/>
    <n v="2"/>
  </r>
  <r>
    <s v="U419"/>
    <x v="801"/>
    <s v="2024-01-16 02:41"/>
    <x v="2"/>
    <s v="P864"/>
    <x v="1"/>
    <s v="Mobile"/>
    <x v="1"/>
    <n v="211"/>
    <d v="2024-01-16T00:00:00"/>
    <n v="1"/>
  </r>
  <r>
    <s v="U473"/>
    <x v="802"/>
    <s v="2024-01-09 21:36"/>
    <x v="2"/>
    <s v="P996"/>
    <x v="0"/>
    <s v="Tablet"/>
    <x v="4"/>
    <n v="3144"/>
    <d v="2024-01-09T00:00:00"/>
    <n v="1"/>
  </r>
  <r>
    <s v="U922"/>
    <x v="803"/>
    <s v="2024-01-24 03:17"/>
    <x v="0"/>
    <s v="P767"/>
    <x v="1"/>
    <s v="Tablet"/>
    <x v="2"/>
    <n v="0"/>
    <d v="2024-01-24T00:00:00"/>
    <n v="1"/>
  </r>
  <r>
    <s v="U247"/>
    <x v="804"/>
    <s v="2024-01-16 23:53"/>
    <x v="1"/>
    <s v="P734"/>
    <x v="2"/>
    <s v="Desktop"/>
    <x v="4"/>
    <n v="0"/>
    <d v="2024-01-16T00:00:00"/>
    <n v="1"/>
  </r>
  <r>
    <s v="U673"/>
    <x v="805"/>
    <s v="2024-02-03 01:42"/>
    <x v="0"/>
    <s v="P207"/>
    <x v="4"/>
    <s v="Desktop"/>
    <x v="1"/>
    <n v="0"/>
    <d v="2024-02-03T00:00:00"/>
    <n v="2"/>
  </r>
  <r>
    <s v="U318"/>
    <x v="806"/>
    <s v="2024-01-27 02:53"/>
    <x v="0"/>
    <s v="P847"/>
    <x v="4"/>
    <s v="Tablet"/>
    <x v="1"/>
    <n v="0"/>
    <d v="2024-01-27T00:00:00"/>
    <n v="1"/>
  </r>
  <r>
    <s v="U684"/>
    <x v="194"/>
    <s v="2024-01-17 08:24"/>
    <x v="0"/>
    <s v="P147"/>
    <x v="0"/>
    <s v="Tablet"/>
    <x v="3"/>
    <n v="0"/>
    <d v="2024-01-17T00:00:00"/>
    <n v="1"/>
  </r>
  <r>
    <s v="U192"/>
    <x v="402"/>
    <s v="2024-02-02 17:06"/>
    <x v="0"/>
    <s v="P682"/>
    <x v="0"/>
    <s v="Mobile"/>
    <x v="3"/>
    <n v="0"/>
    <d v="2024-02-02T00:00:00"/>
    <n v="2"/>
  </r>
  <r>
    <s v="U259"/>
    <x v="807"/>
    <s v="2024-01-13 16:01"/>
    <x v="1"/>
    <s v="P218"/>
    <x v="4"/>
    <s v="Tablet"/>
    <x v="2"/>
    <n v="0"/>
    <d v="2024-01-13T00:00:00"/>
    <n v="1"/>
  </r>
  <r>
    <s v="U916"/>
    <x v="808"/>
    <s v="2024-01-07 16:59"/>
    <x v="1"/>
    <s v="P849"/>
    <x v="2"/>
    <s v="Tablet"/>
    <x v="3"/>
    <n v="0"/>
    <d v="2024-01-07T00:00:00"/>
    <n v="1"/>
  </r>
  <r>
    <s v="U559"/>
    <x v="809"/>
    <s v="2024-01-30 09:10"/>
    <x v="2"/>
    <s v="P592"/>
    <x v="0"/>
    <s v="Tablet"/>
    <x v="0"/>
    <n v="2653"/>
    <d v="2024-01-30T00:00:00"/>
    <n v="1"/>
  </r>
  <r>
    <s v="U982"/>
    <x v="810"/>
    <s v="2024-01-25 01:50"/>
    <x v="1"/>
    <s v="P892"/>
    <x v="4"/>
    <s v="Mobile"/>
    <x v="0"/>
    <n v="0"/>
    <d v="2024-01-25T00:00:00"/>
    <n v="1"/>
  </r>
  <r>
    <s v="U586"/>
    <x v="811"/>
    <s v="2024-01-08 20:19"/>
    <x v="0"/>
    <s v="P251"/>
    <x v="1"/>
    <s v="Tablet"/>
    <x v="3"/>
    <n v="0"/>
    <d v="2024-01-08T00:00:00"/>
    <n v="1"/>
  </r>
  <r>
    <s v="U816"/>
    <x v="812"/>
    <s v="2024-02-02 13:14"/>
    <x v="0"/>
    <s v="P398"/>
    <x v="3"/>
    <s v="Desktop"/>
    <x v="1"/>
    <n v="0"/>
    <d v="2024-02-02T00:00:00"/>
    <n v="2"/>
  </r>
  <r>
    <s v="U553"/>
    <x v="813"/>
    <s v="2024-01-18 19:19"/>
    <x v="0"/>
    <s v="P385"/>
    <x v="2"/>
    <s v="Desktop"/>
    <x v="0"/>
    <n v="0"/>
    <d v="2024-01-18T00:00:00"/>
    <n v="1"/>
  </r>
  <r>
    <s v="U893"/>
    <x v="814"/>
    <s v="2024-01-23 10:54"/>
    <x v="2"/>
    <s v="P165"/>
    <x v="4"/>
    <s v="Tablet"/>
    <x v="0"/>
    <n v="1084"/>
    <d v="2024-01-23T00:00:00"/>
    <n v="1"/>
  </r>
  <r>
    <s v="U292"/>
    <x v="815"/>
    <s v="2024-02-02 08:22"/>
    <x v="1"/>
    <s v="P687"/>
    <x v="0"/>
    <s v="Mobile"/>
    <x v="0"/>
    <n v="0"/>
    <d v="2024-02-02T00:00:00"/>
    <n v="2"/>
  </r>
  <r>
    <s v="U166"/>
    <x v="816"/>
    <s v="2024-01-28 05:04"/>
    <x v="2"/>
    <s v="P488"/>
    <x v="1"/>
    <s v="Desktop"/>
    <x v="0"/>
    <n v="317"/>
    <d v="2024-01-28T00:00:00"/>
    <n v="1"/>
  </r>
  <r>
    <s v="U811"/>
    <x v="817"/>
    <s v="2024-01-24 07:53"/>
    <x v="0"/>
    <s v="P921"/>
    <x v="0"/>
    <s v="Mobile"/>
    <x v="3"/>
    <n v="0"/>
    <d v="2024-01-24T00:00:00"/>
    <n v="1"/>
  </r>
  <r>
    <s v="U282"/>
    <x v="818"/>
    <s v="2024-01-24 21:01"/>
    <x v="2"/>
    <s v="P501"/>
    <x v="3"/>
    <s v="Tablet"/>
    <x v="2"/>
    <n v="3913"/>
    <d v="2024-01-24T00:00:00"/>
    <n v="1"/>
  </r>
  <r>
    <s v="U745"/>
    <x v="819"/>
    <s v="2024-02-03 00:42"/>
    <x v="0"/>
    <s v="P203"/>
    <x v="2"/>
    <s v="Mobile"/>
    <x v="4"/>
    <n v="0"/>
    <d v="2024-02-03T00:00:00"/>
    <n v="2"/>
  </r>
  <r>
    <s v="U109"/>
    <x v="744"/>
    <s v="2024-01-26 12:22"/>
    <x v="2"/>
    <s v="P933"/>
    <x v="1"/>
    <s v="Tablet"/>
    <x v="3"/>
    <n v="4287"/>
    <d v="2024-01-26T00:00:00"/>
    <n v="1"/>
  </r>
  <r>
    <s v="U150"/>
    <x v="820"/>
    <s v="2024-01-06 03:05"/>
    <x v="1"/>
    <s v="P493"/>
    <x v="0"/>
    <s v="Tablet"/>
    <x v="4"/>
    <n v="0"/>
    <d v="2024-01-06T00:00:00"/>
    <n v="1"/>
  </r>
  <r>
    <s v="U405"/>
    <x v="821"/>
    <s v="2024-01-05 02:36"/>
    <x v="1"/>
    <s v="P304"/>
    <x v="4"/>
    <s v="Desktop"/>
    <x v="4"/>
    <n v="0"/>
    <d v="2024-01-05T00:00:00"/>
    <n v="1"/>
  </r>
  <r>
    <s v="U365"/>
    <x v="822"/>
    <s v="2024-01-31 17:45"/>
    <x v="2"/>
    <s v="P431"/>
    <x v="1"/>
    <s v="Tablet"/>
    <x v="1"/>
    <n v="1629"/>
    <d v="2024-01-31T00:00:00"/>
    <n v="1"/>
  </r>
  <r>
    <s v="U563"/>
    <x v="823"/>
    <s v="2024-01-02 10:33"/>
    <x v="2"/>
    <s v="P687"/>
    <x v="2"/>
    <s v="Desktop"/>
    <x v="2"/>
    <n v="1876"/>
    <d v="2024-01-02T00:00:00"/>
    <n v="1"/>
  </r>
  <r>
    <s v="U570"/>
    <x v="824"/>
    <s v="2024-01-24 04:09"/>
    <x v="1"/>
    <s v="P392"/>
    <x v="0"/>
    <s v="Desktop"/>
    <x v="3"/>
    <n v="0"/>
    <d v="2024-01-24T00:00:00"/>
    <n v="1"/>
  </r>
  <r>
    <s v="U966"/>
    <x v="825"/>
    <s v="2024-02-01 07:25"/>
    <x v="0"/>
    <s v="P699"/>
    <x v="1"/>
    <s v="Mobile"/>
    <x v="0"/>
    <n v="0"/>
    <d v="2024-02-01T00:00:00"/>
    <n v="2"/>
  </r>
  <r>
    <s v="U659"/>
    <x v="826"/>
    <s v="2024-01-06 06:28"/>
    <x v="0"/>
    <s v="P541"/>
    <x v="3"/>
    <s v="Mobile"/>
    <x v="4"/>
    <n v="0"/>
    <d v="2024-01-06T00:00:00"/>
    <n v="1"/>
  </r>
  <r>
    <s v="U569"/>
    <x v="827"/>
    <s v="2024-01-21 05:08"/>
    <x v="0"/>
    <s v="P781"/>
    <x v="3"/>
    <s v="Mobile"/>
    <x v="4"/>
    <n v="0"/>
    <d v="2024-01-21T00:00:00"/>
    <n v="1"/>
  </r>
  <r>
    <s v="U210"/>
    <x v="828"/>
    <s v="2024-02-01 03:39"/>
    <x v="1"/>
    <s v="P517"/>
    <x v="4"/>
    <s v="Desktop"/>
    <x v="1"/>
    <n v="0"/>
    <d v="2024-02-01T00:00:00"/>
    <n v="2"/>
  </r>
  <r>
    <s v="U123"/>
    <x v="829"/>
    <s v="2024-01-01 21:11"/>
    <x v="1"/>
    <s v="P969"/>
    <x v="0"/>
    <s v="Mobile"/>
    <x v="4"/>
    <n v="0"/>
    <d v="2024-01-01T00:00:00"/>
    <n v="1"/>
  </r>
  <r>
    <s v="U547"/>
    <x v="830"/>
    <s v="2024-01-31 17:18"/>
    <x v="2"/>
    <s v="P998"/>
    <x v="1"/>
    <s v="Mobile"/>
    <x v="0"/>
    <n v="4350"/>
    <d v="2024-01-31T00:00:00"/>
    <n v="1"/>
  </r>
  <r>
    <s v="U340"/>
    <x v="831"/>
    <s v="2024-02-03 09:59"/>
    <x v="2"/>
    <s v="P415"/>
    <x v="1"/>
    <s v="Tablet"/>
    <x v="4"/>
    <n v="2783"/>
    <d v="2024-02-03T00:00:00"/>
    <n v="2"/>
  </r>
  <r>
    <s v="U659"/>
    <x v="832"/>
    <s v="2024-01-07 19:59"/>
    <x v="1"/>
    <s v="P394"/>
    <x v="2"/>
    <s v="Desktop"/>
    <x v="4"/>
    <n v="0"/>
    <d v="2024-01-07T00:00:00"/>
    <n v="1"/>
  </r>
  <r>
    <s v="U530"/>
    <x v="833"/>
    <s v="2024-01-09 12:32"/>
    <x v="0"/>
    <s v="P575"/>
    <x v="3"/>
    <s v="Tablet"/>
    <x v="2"/>
    <n v="0"/>
    <d v="2024-01-09T00:00:00"/>
    <n v="1"/>
  </r>
  <r>
    <s v="U700"/>
    <x v="834"/>
    <s v="2024-01-11 05:26"/>
    <x v="2"/>
    <s v="P876"/>
    <x v="2"/>
    <s v="Desktop"/>
    <x v="0"/>
    <n v="2744"/>
    <d v="2024-01-11T00:00:00"/>
    <n v="1"/>
  </r>
  <r>
    <s v="U365"/>
    <x v="835"/>
    <s v="2024-02-01 09:14"/>
    <x v="0"/>
    <s v="P560"/>
    <x v="1"/>
    <s v="Tablet"/>
    <x v="1"/>
    <n v="0"/>
    <d v="2024-02-01T00:00:00"/>
    <n v="2"/>
  </r>
  <r>
    <s v="U211"/>
    <x v="836"/>
    <s v="2024-01-27 17:50"/>
    <x v="1"/>
    <s v="P364"/>
    <x v="2"/>
    <s v="Tablet"/>
    <x v="2"/>
    <n v="0"/>
    <d v="2024-01-27T00:00:00"/>
    <n v="1"/>
  </r>
  <r>
    <s v="U479"/>
    <x v="837"/>
    <s v="2024-01-31 22:26"/>
    <x v="0"/>
    <s v="P570"/>
    <x v="2"/>
    <s v="Desktop"/>
    <x v="4"/>
    <n v="0"/>
    <d v="2024-01-31T00:00:00"/>
    <n v="1"/>
  </r>
  <r>
    <s v="U532"/>
    <x v="838"/>
    <s v="2024-01-11 06:50"/>
    <x v="1"/>
    <s v="P682"/>
    <x v="2"/>
    <s v="Tablet"/>
    <x v="4"/>
    <n v="0"/>
    <d v="2024-01-11T00:00:00"/>
    <n v="1"/>
  </r>
  <r>
    <s v="U477"/>
    <x v="839"/>
    <s v="2024-01-17 06:13"/>
    <x v="2"/>
    <s v="P111"/>
    <x v="2"/>
    <s v="Desktop"/>
    <x v="3"/>
    <n v="295"/>
    <d v="2024-01-17T00:00:00"/>
    <n v="1"/>
  </r>
  <r>
    <s v="U713"/>
    <x v="840"/>
    <s v="2024-01-09 14:12"/>
    <x v="1"/>
    <s v="P501"/>
    <x v="0"/>
    <s v="Mobile"/>
    <x v="1"/>
    <n v="0"/>
    <d v="2024-01-09T00:00:00"/>
    <n v="1"/>
  </r>
  <r>
    <s v="U304"/>
    <x v="841"/>
    <s v="2024-01-18 17:04"/>
    <x v="2"/>
    <s v="P695"/>
    <x v="1"/>
    <s v="Tablet"/>
    <x v="1"/>
    <n v="4037"/>
    <d v="2024-01-18T00:00:00"/>
    <n v="1"/>
  </r>
  <r>
    <s v="U458"/>
    <x v="356"/>
    <s v="2024-02-03 14:22"/>
    <x v="0"/>
    <s v="P108"/>
    <x v="1"/>
    <s v="Mobile"/>
    <x v="0"/>
    <n v="0"/>
    <d v="2024-02-03T00:00:00"/>
    <n v="2"/>
  </r>
  <r>
    <s v="U964"/>
    <x v="842"/>
    <s v="2024-01-30 06:47"/>
    <x v="0"/>
    <s v="P535"/>
    <x v="2"/>
    <s v="Desktop"/>
    <x v="0"/>
    <n v="0"/>
    <d v="2024-01-30T00:00:00"/>
    <n v="1"/>
  </r>
  <r>
    <s v="U442"/>
    <x v="843"/>
    <s v="2024-01-30 22:18"/>
    <x v="1"/>
    <s v="P778"/>
    <x v="2"/>
    <s v="Desktop"/>
    <x v="4"/>
    <n v="0"/>
    <d v="2024-01-30T00:00:00"/>
    <n v="1"/>
  </r>
  <r>
    <s v="U821"/>
    <x v="844"/>
    <s v="2024-01-14 23:37"/>
    <x v="2"/>
    <s v="P506"/>
    <x v="2"/>
    <s v="Desktop"/>
    <x v="0"/>
    <n v="2703"/>
    <d v="2024-01-14T00:00:00"/>
    <n v="1"/>
  </r>
  <r>
    <s v="U182"/>
    <x v="845"/>
    <s v="2024-01-21 07:37"/>
    <x v="1"/>
    <s v="P916"/>
    <x v="1"/>
    <s v="Desktop"/>
    <x v="0"/>
    <n v="0"/>
    <d v="2024-01-21T00:00:00"/>
    <n v="1"/>
  </r>
  <r>
    <s v="U215"/>
    <x v="846"/>
    <s v="2024-01-27 23:50"/>
    <x v="1"/>
    <s v="P964"/>
    <x v="3"/>
    <s v="Mobile"/>
    <x v="1"/>
    <n v="0"/>
    <d v="2024-01-27T00:00:00"/>
    <n v="1"/>
  </r>
  <r>
    <s v="U734"/>
    <x v="847"/>
    <s v="2024-01-14 19:01"/>
    <x v="0"/>
    <s v="P520"/>
    <x v="4"/>
    <s v="Tablet"/>
    <x v="2"/>
    <n v="0"/>
    <d v="2024-01-14T00:00:00"/>
    <n v="1"/>
  </r>
  <r>
    <s v="U897"/>
    <x v="848"/>
    <s v="2024-01-22 01:52"/>
    <x v="0"/>
    <s v="P358"/>
    <x v="4"/>
    <s v="Desktop"/>
    <x v="0"/>
    <n v="0"/>
    <d v="2024-01-22T00:00:00"/>
    <n v="1"/>
  </r>
  <r>
    <s v="U822"/>
    <x v="849"/>
    <s v="2024-01-29 06:21"/>
    <x v="2"/>
    <s v="P343"/>
    <x v="4"/>
    <s v="Tablet"/>
    <x v="2"/>
    <n v="4924"/>
    <d v="2024-01-29T00:00:00"/>
    <n v="1"/>
  </r>
  <r>
    <s v="U189"/>
    <x v="108"/>
    <s v="2024-01-08 16:22"/>
    <x v="0"/>
    <s v="P935"/>
    <x v="0"/>
    <s v="Tablet"/>
    <x v="0"/>
    <n v="0"/>
    <d v="2024-01-08T00:00:00"/>
    <n v="1"/>
  </r>
  <r>
    <s v="U338"/>
    <x v="850"/>
    <s v="2024-01-25 01:46"/>
    <x v="2"/>
    <s v="P114"/>
    <x v="4"/>
    <s v="Tablet"/>
    <x v="1"/>
    <n v="4915"/>
    <d v="2024-01-25T00:00:00"/>
    <n v="1"/>
  </r>
  <r>
    <s v="U830"/>
    <x v="113"/>
    <s v="2024-01-03 05:10"/>
    <x v="2"/>
    <s v="P124"/>
    <x v="4"/>
    <s v="Mobile"/>
    <x v="1"/>
    <n v="3415"/>
    <d v="2024-01-03T00:00:00"/>
    <n v="1"/>
  </r>
  <r>
    <s v="U712"/>
    <x v="851"/>
    <s v="2024-01-19 10:52"/>
    <x v="0"/>
    <s v="P593"/>
    <x v="2"/>
    <s v="Tablet"/>
    <x v="0"/>
    <n v="0"/>
    <d v="2024-01-19T00:00:00"/>
    <n v="1"/>
  </r>
  <r>
    <s v="U724"/>
    <x v="852"/>
    <s v="2024-01-16 16:47"/>
    <x v="0"/>
    <s v="P141"/>
    <x v="3"/>
    <s v="Tablet"/>
    <x v="3"/>
    <n v="0"/>
    <d v="2024-01-16T00:00:00"/>
    <n v="1"/>
  </r>
  <r>
    <s v="U729"/>
    <x v="853"/>
    <s v="2024-01-17 02:17"/>
    <x v="1"/>
    <s v="P606"/>
    <x v="3"/>
    <s v="Desktop"/>
    <x v="4"/>
    <n v="0"/>
    <d v="2024-01-17T00:00:00"/>
    <n v="1"/>
  </r>
  <r>
    <s v="U737"/>
    <x v="854"/>
    <s v="2024-01-19 04:49"/>
    <x v="1"/>
    <s v="P905"/>
    <x v="4"/>
    <s v="Tablet"/>
    <x v="3"/>
    <n v="0"/>
    <d v="2024-01-19T00:00:00"/>
    <n v="1"/>
  </r>
  <r>
    <s v="U424"/>
    <x v="855"/>
    <s v="2024-02-04 10:53"/>
    <x v="2"/>
    <s v="P739"/>
    <x v="4"/>
    <s v="Mobile"/>
    <x v="4"/>
    <n v="2759"/>
    <d v="2024-02-04T00:00:00"/>
    <n v="2"/>
  </r>
  <r>
    <s v="U752"/>
    <x v="210"/>
    <s v="2024-01-09 22:07"/>
    <x v="1"/>
    <s v="P627"/>
    <x v="1"/>
    <s v="Tablet"/>
    <x v="3"/>
    <n v="0"/>
    <d v="2024-01-09T00:00:00"/>
    <n v="1"/>
  </r>
  <r>
    <s v="U851"/>
    <x v="856"/>
    <s v="2024-01-12 14:40"/>
    <x v="2"/>
    <s v="P722"/>
    <x v="0"/>
    <s v="Desktop"/>
    <x v="2"/>
    <n v="3751"/>
    <d v="2024-01-12T00:00:00"/>
    <n v="1"/>
  </r>
  <r>
    <s v="U286"/>
    <x v="857"/>
    <s v="2024-01-06 08:00"/>
    <x v="0"/>
    <s v="P354"/>
    <x v="0"/>
    <s v="Mobile"/>
    <x v="2"/>
    <n v="0"/>
    <d v="2024-01-06T00:00:00"/>
    <n v="1"/>
  </r>
  <r>
    <s v="U711"/>
    <x v="858"/>
    <s v="2024-01-11 18:32"/>
    <x v="1"/>
    <s v="P808"/>
    <x v="2"/>
    <s v="Mobile"/>
    <x v="0"/>
    <n v="0"/>
    <d v="2024-01-11T00:00:00"/>
    <n v="1"/>
  </r>
  <r>
    <s v="U320"/>
    <x v="859"/>
    <s v="2024-01-11 22:16"/>
    <x v="1"/>
    <s v="P221"/>
    <x v="2"/>
    <s v="Desktop"/>
    <x v="4"/>
    <n v="0"/>
    <d v="2024-01-11T00:00:00"/>
    <n v="1"/>
  </r>
  <r>
    <s v="U773"/>
    <x v="860"/>
    <s v="2024-02-04 12:12"/>
    <x v="2"/>
    <s v="P932"/>
    <x v="4"/>
    <s v="Desktop"/>
    <x v="0"/>
    <n v="2002"/>
    <d v="2024-02-04T00:00:00"/>
    <n v="2"/>
  </r>
  <r>
    <s v="U711"/>
    <x v="861"/>
    <s v="2024-01-23 07:48"/>
    <x v="2"/>
    <s v="P701"/>
    <x v="3"/>
    <s v="Tablet"/>
    <x v="4"/>
    <n v="3124"/>
    <d v="2024-01-23T00:00:00"/>
    <n v="1"/>
  </r>
  <r>
    <s v="U241"/>
    <x v="862"/>
    <s v="2024-01-21 04:08"/>
    <x v="2"/>
    <s v="P708"/>
    <x v="2"/>
    <s v="Desktop"/>
    <x v="1"/>
    <n v="1107"/>
    <d v="2024-01-21T00:00:00"/>
    <n v="1"/>
  </r>
  <r>
    <s v="U211"/>
    <x v="863"/>
    <s v="2024-01-20 19:05"/>
    <x v="0"/>
    <s v="P831"/>
    <x v="0"/>
    <s v="Mobile"/>
    <x v="0"/>
    <n v="0"/>
    <d v="2024-01-20T00:00:00"/>
    <n v="1"/>
  </r>
  <r>
    <s v="U507"/>
    <x v="864"/>
    <s v="2024-02-02 17:09"/>
    <x v="1"/>
    <s v="P304"/>
    <x v="1"/>
    <s v="Desktop"/>
    <x v="3"/>
    <n v="0"/>
    <d v="2024-02-02T00:00:00"/>
    <n v="2"/>
  </r>
  <r>
    <s v="U738"/>
    <x v="690"/>
    <s v="2024-01-16 02:19"/>
    <x v="1"/>
    <s v="P389"/>
    <x v="1"/>
    <s v="Tablet"/>
    <x v="1"/>
    <n v="0"/>
    <d v="2024-01-16T00:00:00"/>
    <n v="1"/>
  </r>
  <r>
    <s v="U247"/>
    <x v="865"/>
    <s v="2024-01-19 15:11"/>
    <x v="2"/>
    <s v="P320"/>
    <x v="0"/>
    <s v="Tablet"/>
    <x v="3"/>
    <n v="1591"/>
    <d v="2024-01-19T00:00:00"/>
    <n v="1"/>
  </r>
  <r>
    <s v="U186"/>
    <x v="866"/>
    <s v="2024-01-08 23:49"/>
    <x v="0"/>
    <s v="P814"/>
    <x v="4"/>
    <s v="Tablet"/>
    <x v="3"/>
    <n v="0"/>
    <d v="2024-01-08T00:00:00"/>
    <n v="1"/>
  </r>
  <r>
    <s v="U899"/>
    <x v="867"/>
    <s v="2024-01-14 17:05"/>
    <x v="1"/>
    <s v="P402"/>
    <x v="1"/>
    <s v="Desktop"/>
    <x v="4"/>
    <n v="0"/>
    <d v="2024-01-14T00:00:00"/>
    <n v="1"/>
  </r>
  <r>
    <s v="U277"/>
    <x v="868"/>
    <s v="2024-01-30 00:22"/>
    <x v="2"/>
    <s v="P106"/>
    <x v="0"/>
    <s v="Desktop"/>
    <x v="2"/>
    <n v="2946"/>
    <d v="2024-01-30T00:00:00"/>
    <n v="1"/>
  </r>
  <r>
    <s v="U913"/>
    <x v="869"/>
    <s v="2024-01-11 05:55"/>
    <x v="2"/>
    <s v="P279"/>
    <x v="2"/>
    <s v="Desktop"/>
    <x v="1"/>
    <n v="2115"/>
    <d v="2024-01-11T00:00:00"/>
    <n v="1"/>
  </r>
  <r>
    <s v="U923"/>
    <x v="870"/>
    <s v="2024-01-06 21:35"/>
    <x v="1"/>
    <s v="P733"/>
    <x v="2"/>
    <s v="Mobile"/>
    <x v="2"/>
    <n v="0"/>
    <d v="2024-01-06T00:00:00"/>
    <n v="1"/>
  </r>
  <r>
    <s v="U199"/>
    <x v="88"/>
    <s v="2024-01-08 18:12"/>
    <x v="0"/>
    <s v="P391"/>
    <x v="3"/>
    <s v="Mobile"/>
    <x v="3"/>
    <n v="0"/>
    <d v="2024-01-08T00:00:00"/>
    <n v="1"/>
  </r>
  <r>
    <s v="U313"/>
    <x v="871"/>
    <s v="2024-01-08 13:42"/>
    <x v="1"/>
    <s v="P336"/>
    <x v="4"/>
    <s v="Desktop"/>
    <x v="0"/>
    <n v="0"/>
    <d v="2024-01-08T00:00:00"/>
    <n v="1"/>
  </r>
  <r>
    <s v="U161"/>
    <x v="872"/>
    <s v="2024-01-15 00:47"/>
    <x v="1"/>
    <s v="P586"/>
    <x v="2"/>
    <s v="Tablet"/>
    <x v="0"/>
    <n v="0"/>
    <d v="2024-01-15T00:00:00"/>
    <n v="1"/>
  </r>
  <r>
    <s v="U461"/>
    <x v="873"/>
    <s v="2024-01-18 18:50"/>
    <x v="2"/>
    <s v="P376"/>
    <x v="3"/>
    <s v="Desktop"/>
    <x v="1"/>
    <n v="2478"/>
    <d v="2024-01-18T00:00:00"/>
    <n v="1"/>
  </r>
  <r>
    <s v="U516"/>
    <x v="874"/>
    <s v="2024-01-17 06:30"/>
    <x v="1"/>
    <s v="P724"/>
    <x v="2"/>
    <s v="Desktop"/>
    <x v="0"/>
    <n v="0"/>
    <d v="2024-01-17T00:00:00"/>
    <n v="1"/>
  </r>
  <r>
    <s v="U438"/>
    <x v="875"/>
    <s v="2024-01-28 15:07"/>
    <x v="2"/>
    <s v="P501"/>
    <x v="1"/>
    <s v="Tablet"/>
    <x v="3"/>
    <n v="3941"/>
    <d v="2024-01-28T00:00:00"/>
    <n v="1"/>
  </r>
  <r>
    <s v="U691"/>
    <x v="876"/>
    <s v="2024-01-26 18:01"/>
    <x v="0"/>
    <s v="P735"/>
    <x v="1"/>
    <s v="Mobile"/>
    <x v="1"/>
    <n v="0"/>
    <d v="2024-01-26T00:00:00"/>
    <n v="1"/>
  </r>
  <r>
    <s v="U596"/>
    <x v="877"/>
    <s v="2024-01-26 09:20"/>
    <x v="0"/>
    <s v="P932"/>
    <x v="2"/>
    <s v="Tablet"/>
    <x v="2"/>
    <n v="0"/>
    <d v="2024-01-26T00:00:00"/>
    <n v="1"/>
  </r>
  <r>
    <s v="U673"/>
    <x v="878"/>
    <s v="2024-01-15 15:53"/>
    <x v="1"/>
    <s v="P989"/>
    <x v="2"/>
    <s v="Desktop"/>
    <x v="2"/>
    <n v="0"/>
    <d v="2024-01-15T00:00:00"/>
    <n v="1"/>
  </r>
  <r>
    <s v="U266"/>
    <x v="879"/>
    <s v="2024-01-11 18:11"/>
    <x v="0"/>
    <s v="P450"/>
    <x v="0"/>
    <s v="Mobile"/>
    <x v="0"/>
    <n v="0"/>
    <d v="2024-01-11T00:00:00"/>
    <n v="1"/>
  </r>
  <r>
    <s v="U281"/>
    <x v="880"/>
    <s v="2024-01-22 18:10"/>
    <x v="0"/>
    <s v="P551"/>
    <x v="4"/>
    <s v="Desktop"/>
    <x v="0"/>
    <n v="0"/>
    <d v="2024-01-22T00:00:00"/>
    <n v="1"/>
  </r>
  <r>
    <s v="U701"/>
    <x v="881"/>
    <s v="2024-01-15 03:52"/>
    <x v="0"/>
    <s v="P287"/>
    <x v="0"/>
    <s v="Tablet"/>
    <x v="0"/>
    <n v="0"/>
    <d v="2024-01-15T00:00:00"/>
    <n v="1"/>
  </r>
  <r>
    <s v="U941"/>
    <x v="139"/>
    <s v="2024-01-03 18:33"/>
    <x v="0"/>
    <s v="P985"/>
    <x v="2"/>
    <s v="Tablet"/>
    <x v="1"/>
    <n v="0"/>
    <d v="2024-01-03T00:00:00"/>
    <n v="1"/>
  </r>
  <r>
    <s v="U932"/>
    <x v="882"/>
    <s v="2024-01-06 00:20"/>
    <x v="1"/>
    <s v="P316"/>
    <x v="1"/>
    <s v="Mobile"/>
    <x v="2"/>
    <n v="0"/>
    <d v="2024-01-06T00:00:00"/>
    <n v="1"/>
  </r>
  <r>
    <s v="U403"/>
    <x v="461"/>
    <s v="2024-01-17 16:21"/>
    <x v="1"/>
    <s v="P841"/>
    <x v="0"/>
    <s v="Mobile"/>
    <x v="2"/>
    <n v="0"/>
    <d v="2024-01-17T00:00:00"/>
    <n v="1"/>
  </r>
  <r>
    <s v="U224"/>
    <x v="883"/>
    <s v="2024-01-09 02:05"/>
    <x v="1"/>
    <s v="P149"/>
    <x v="0"/>
    <s v="Tablet"/>
    <x v="2"/>
    <n v="0"/>
    <d v="2024-01-09T00:00:00"/>
    <n v="1"/>
  </r>
  <r>
    <s v="U222"/>
    <x v="884"/>
    <s v="2024-01-07 11:56"/>
    <x v="0"/>
    <s v="P508"/>
    <x v="3"/>
    <s v="Desktop"/>
    <x v="4"/>
    <n v="0"/>
    <d v="2024-01-07T00:00:00"/>
    <n v="1"/>
  </r>
  <r>
    <s v="U517"/>
    <x v="885"/>
    <s v="2024-01-18 12:04"/>
    <x v="0"/>
    <s v="P277"/>
    <x v="2"/>
    <s v="Tablet"/>
    <x v="2"/>
    <n v="0"/>
    <d v="2024-01-18T00:00:00"/>
    <n v="1"/>
  </r>
  <r>
    <s v="U922"/>
    <x v="886"/>
    <s v="2024-01-18 11:48"/>
    <x v="1"/>
    <s v="P810"/>
    <x v="1"/>
    <s v="Mobile"/>
    <x v="4"/>
    <n v="0"/>
    <d v="2024-01-18T00:00:00"/>
    <n v="1"/>
  </r>
  <r>
    <s v="U204"/>
    <x v="887"/>
    <s v="2024-01-24 07:58"/>
    <x v="2"/>
    <s v="P663"/>
    <x v="4"/>
    <s v="Mobile"/>
    <x v="3"/>
    <n v="3016"/>
    <d v="2024-01-24T00:00:00"/>
    <n v="1"/>
  </r>
  <r>
    <s v="U612"/>
    <x v="888"/>
    <s v="2024-01-01 18:02"/>
    <x v="2"/>
    <s v="P466"/>
    <x v="2"/>
    <s v="Desktop"/>
    <x v="4"/>
    <n v="4977"/>
    <d v="2024-01-01T00:00:00"/>
    <n v="1"/>
  </r>
  <r>
    <s v="U452"/>
    <x v="889"/>
    <s v="2024-01-11 03:26"/>
    <x v="1"/>
    <s v="P191"/>
    <x v="4"/>
    <s v="Desktop"/>
    <x v="4"/>
    <n v="0"/>
    <d v="2024-01-11T00:00:00"/>
    <n v="1"/>
  </r>
  <r>
    <s v="U529"/>
    <x v="890"/>
    <s v="2024-01-06 13:13"/>
    <x v="1"/>
    <s v="P778"/>
    <x v="2"/>
    <s v="Tablet"/>
    <x v="3"/>
    <n v="0"/>
    <d v="2024-01-06T00:00:00"/>
    <n v="1"/>
  </r>
  <r>
    <s v="U305"/>
    <x v="423"/>
    <s v="2024-01-21 08:09"/>
    <x v="0"/>
    <s v="P333"/>
    <x v="3"/>
    <s v="Desktop"/>
    <x v="0"/>
    <n v="0"/>
    <d v="2024-01-21T00:00:00"/>
    <n v="1"/>
  </r>
  <r>
    <s v="U638"/>
    <x v="891"/>
    <s v="2024-01-31 17:48"/>
    <x v="2"/>
    <s v="P423"/>
    <x v="1"/>
    <s v="Tablet"/>
    <x v="1"/>
    <n v="4569"/>
    <d v="2024-01-31T00:00:00"/>
    <n v="1"/>
  </r>
  <r>
    <s v="U121"/>
    <x v="892"/>
    <s v="2024-01-14 09:56"/>
    <x v="0"/>
    <s v="P655"/>
    <x v="4"/>
    <s v="Desktop"/>
    <x v="3"/>
    <n v="0"/>
    <d v="2024-01-14T00:00:00"/>
    <n v="1"/>
  </r>
  <r>
    <s v="U536"/>
    <x v="893"/>
    <s v="2024-01-03 13:51"/>
    <x v="2"/>
    <s v="P413"/>
    <x v="3"/>
    <s v="Mobile"/>
    <x v="2"/>
    <n v="4472"/>
    <d v="2024-01-03T00:00:00"/>
    <n v="1"/>
  </r>
  <r>
    <s v="U670"/>
    <x v="894"/>
    <s v="2024-01-02 23:21"/>
    <x v="0"/>
    <s v="P133"/>
    <x v="4"/>
    <s v="Desktop"/>
    <x v="4"/>
    <n v="0"/>
    <d v="2024-01-02T00:00:00"/>
    <n v="1"/>
  </r>
  <r>
    <s v="U548"/>
    <x v="677"/>
    <s v="2024-01-12 01:23"/>
    <x v="0"/>
    <s v="P124"/>
    <x v="2"/>
    <s v="Desktop"/>
    <x v="3"/>
    <n v="0"/>
    <d v="2024-01-12T00:00:00"/>
    <n v="1"/>
  </r>
  <r>
    <s v="U695"/>
    <x v="895"/>
    <s v="2024-01-03 17:01"/>
    <x v="1"/>
    <s v="P270"/>
    <x v="3"/>
    <s v="Tablet"/>
    <x v="3"/>
    <n v="0"/>
    <d v="2024-01-03T00:00:00"/>
    <n v="1"/>
  </r>
  <r>
    <s v="U246"/>
    <x v="558"/>
    <s v="2024-01-29 06:04"/>
    <x v="0"/>
    <s v="P964"/>
    <x v="4"/>
    <s v="Mobile"/>
    <x v="2"/>
    <n v="0"/>
    <d v="2024-01-29T00:00:00"/>
    <n v="1"/>
  </r>
  <r>
    <s v="U897"/>
    <x v="896"/>
    <s v="2024-01-15 13:11"/>
    <x v="1"/>
    <s v="P391"/>
    <x v="3"/>
    <s v="Desktop"/>
    <x v="0"/>
    <n v="0"/>
    <d v="2024-01-15T00:00:00"/>
    <n v="1"/>
  </r>
  <r>
    <s v="U442"/>
    <x v="780"/>
    <s v="2024-01-09 13:24"/>
    <x v="2"/>
    <s v="P264"/>
    <x v="2"/>
    <s v="Desktop"/>
    <x v="1"/>
    <n v="1701"/>
    <d v="2024-01-09T00:00:00"/>
    <n v="1"/>
  </r>
  <r>
    <s v="U970"/>
    <x v="897"/>
    <s v="2024-02-03 23:17"/>
    <x v="2"/>
    <s v="P904"/>
    <x v="2"/>
    <s v="Desktop"/>
    <x v="4"/>
    <n v="707"/>
    <d v="2024-02-03T00:00:00"/>
    <n v="2"/>
  </r>
  <r>
    <s v="U422"/>
    <x v="898"/>
    <s v="2024-01-08 11:04"/>
    <x v="1"/>
    <s v="P249"/>
    <x v="0"/>
    <s v="Desktop"/>
    <x v="2"/>
    <n v="0"/>
    <d v="2024-01-08T00:00:00"/>
    <n v="1"/>
  </r>
  <r>
    <s v="U929"/>
    <x v="314"/>
    <s v="2024-01-22 07:09"/>
    <x v="0"/>
    <s v="P712"/>
    <x v="2"/>
    <s v="Mobile"/>
    <x v="4"/>
    <n v="0"/>
    <d v="2024-01-22T00:00:00"/>
    <n v="1"/>
  </r>
  <r>
    <s v="U984"/>
    <x v="899"/>
    <s v="2024-01-25 16:23"/>
    <x v="2"/>
    <s v="P401"/>
    <x v="3"/>
    <s v="Desktop"/>
    <x v="4"/>
    <n v="2287"/>
    <d v="2024-01-25T00:00:00"/>
    <n v="1"/>
  </r>
  <r>
    <s v="U137"/>
    <x v="900"/>
    <s v="2024-01-04 00:51"/>
    <x v="2"/>
    <s v="P936"/>
    <x v="0"/>
    <s v="Tablet"/>
    <x v="4"/>
    <n v="995"/>
    <d v="2024-01-04T00:00:00"/>
    <n v="1"/>
  </r>
  <r>
    <s v="U373"/>
    <x v="901"/>
    <s v="2024-02-03 23:32"/>
    <x v="1"/>
    <s v="P140"/>
    <x v="4"/>
    <s v="Desktop"/>
    <x v="4"/>
    <n v="0"/>
    <d v="2024-02-03T00:00:00"/>
    <n v="2"/>
  </r>
  <r>
    <s v="U770"/>
    <x v="902"/>
    <s v="2024-01-05 06:28"/>
    <x v="2"/>
    <s v="P291"/>
    <x v="3"/>
    <s v="Desktop"/>
    <x v="3"/>
    <n v="2349"/>
    <d v="2024-01-05T00:00:00"/>
    <n v="1"/>
  </r>
  <r>
    <s v="U345"/>
    <x v="903"/>
    <s v="2024-01-16 23:57"/>
    <x v="0"/>
    <s v="P828"/>
    <x v="4"/>
    <s v="Desktop"/>
    <x v="0"/>
    <n v="0"/>
    <d v="2024-01-16T00:00:00"/>
    <n v="1"/>
  </r>
  <r>
    <s v="U100"/>
    <x v="904"/>
    <s v="2024-01-09 14:24"/>
    <x v="1"/>
    <s v="P299"/>
    <x v="0"/>
    <s v="Mobile"/>
    <x v="0"/>
    <n v="0"/>
    <d v="2024-01-09T00:00:00"/>
    <n v="1"/>
  </r>
  <r>
    <s v="U941"/>
    <x v="905"/>
    <s v="2024-01-03 07:35"/>
    <x v="2"/>
    <s v="P214"/>
    <x v="1"/>
    <s v="Mobile"/>
    <x v="2"/>
    <n v="1593"/>
    <d v="2024-01-03T00:00:00"/>
    <n v="1"/>
  </r>
  <r>
    <s v="U745"/>
    <x v="341"/>
    <s v="2024-01-02 20:08"/>
    <x v="2"/>
    <s v="P402"/>
    <x v="2"/>
    <s v="Tablet"/>
    <x v="0"/>
    <n v="549"/>
    <d v="2024-01-02T00:00:00"/>
    <n v="1"/>
  </r>
  <r>
    <s v="U496"/>
    <x v="61"/>
    <s v="2024-01-22 19:55"/>
    <x v="2"/>
    <s v="P344"/>
    <x v="2"/>
    <s v="Tablet"/>
    <x v="2"/>
    <n v="3553"/>
    <d v="2024-01-22T00:00:00"/>
    <n v="1"/>
  </r>
  <r>
    <s v="U428"/>
    <x v="906"/>
    <s v="2024-01-02 00:49"/>
    <x v="1"/>
    <s v="P755"/>
    <x v="1"/>
    <s v="Mobile"/>
    <x v="2"/>
    <n v="0"/>
    <d v="2024-01-02T00:00:00"/>
    <n v="1"/>
  </r>
  <r>
    <s v="U247"/>
    <x v="31"/>
    <s v="2024-02-04 16:04"/>
    <x v="0"/>
    <s v="P947"/>
    <x v="1"/>
    <s v="Desktop"/>
    <x v="3"/>
    <n v="0"/>
    <d v="2024-02-04T00:00:00"/>
    <n v="2"/>
  </r>
  <r>
    <s v="U563"/>
    <x v="907"/>
    <s v="2024-01-22 02:08"/>
    <x v="0"/>
    <s v="P617"/>
    <x v="1"/>
    <s v="Desktop"/>
    <x v="4"/>
    <n v="0"/>
    <d v="2024-01-22T00:00:00"/>
    <n v="1"/>
  </r>
  <r>
    <s v="U361"/>
    <x v="908"/>
    <s v="2024-01-05 02:54"/>
    <x v="0"/>
    <s v="P702"/>
    <x v="4"/>
    <s v="Mobile"/>
    <x v="2"/>
    <n v="0"/>
    <d v="2024-01-05T00:00:00"/>
    <n v="1"/>
  </r>
  <r>
    <s v="U637"/>
    <x v="909"/>
    <s v="2024-01-27 12:07"/>
    <x v="2"/>
    <s v="P734"/>
    <x v="1"/>
    <s v="Tablet"/>
    <x v="0"/>
    <n v="2484"/>
    <d v="2024-01-27T00:00:00"/>
    <n v="1"/>
  </r>
  <r>
    <s v="U783"/>
    <x v="910"/>
    <s v="2024-02-01 11:23"/>
    <x v="0"/>
    <s v="P893"/>
    <x v="3"/>
    <s v="Tablet"/>
    <x v="2"/>
    <n v="0"/>
    <d v="2024-02-01T00:00:00"/>
    <n v="2"/>
  </r>
  <r>
    <s v="U141"/>
    <x v="911"/>
    <s v="2024-01-08 06:45"/>
    <x v="0"/>
    <s v="P906"/>
    <x v="0"/>
    <s v="Mobile"/>
    <x v="0"/>
    <n v="0"/>
    <d v="2024-01-08T00:00:00"/>
    <n v="1"/>
  </r>
  <r>
    <s v="U160"/>
    <x v="912"/>
    <s v="2024-01-07 23:43"/>
    <x v="2"/>
    <s v="P106"/>
    <x v="1"/>
    <s v="Tablet"/>
    <x v="2"/>
    <n v="4324"/>
    <d v="2024-01-07T00:00:00"/>
    <n v="1"/>
  </r>
  <r>
    <s v="U952"/>
    <x v="573"/>
    <s v="2024-01-11 04:57"/>
    <x v="2"/>
    <s v="P629"/>
    <x v="4"/>
    <s v="Tablet"/>
    <x v="3"/>
    <n v="868"/>
    <d v="2024-01-11T00:00:00"/>
    <n v="1"/>
  </r>
  <r>
    <s v="U328"/>
    <x v="913"/>
    <s v="2024-01-07 21:59"/>
    <x v="0"/>
    <s v="P852"/>
    <x v="1"/>
    <s v="Tablet"/>
    <x v="4"/>
    <n v="0"/>
    <d v="2024-01-07T00:00:00"/>
    <n v="1"/>
  </r>
  <r>
    <s v="U687"/>
    <x v="914"/>
    <s v="2024-02-04 11:24"/>
    <x v="0"/>
    <s v="P643"/>
    <x v="1"/>
    <s v="Mobile"/>
    <x v="3"/>
    <n v="0"/>
    <d v="2024-02-04T00:00:00"/>
    <n v="2"/>
  </r>
  <r>
    <s v="U987"/>
    <x v="915"/>
    <s v="2024-01-27 01:55"/>
    <x v="0"/>
    <s v="P599"/>
    <x v="3"/>
    <s v="Mobile"/>
    <x v="2"/>
    <n v="0"/>
    <d v="2024-01-27T00:00:00"/>
    <n v="1"/>
  </r>
  <r>
    <s v="U860"/>
    <x v="916"/>
    <s v="2024-01-30 07:39"/>
    <x v="0"/>
    <s v="P846"/>
    <x v="0"/>
    <s v="Desktop"/>
    <x v="0"/>
    <n v="0"/>
    <d v="2024-01-30T00:00:00"/>
    <n v="1"/>
  </r>
  <r>
    <s v="U301"/>
    <x v="917"/>
    <s v="2024-01-19 14:29"/>
    <x v="2"/>
    <s v="P416"/>
    <x v="3"/>
    <s v="Desktop"/>
    <x v="2"/>
    <n v="892"/>
    <d v="2024-01-19T00:00:00"/>
    <n v="1"/>
  </r>
  <r>
    <s v="U710"/>
    <x v="918"/>
    <s v="2024-01-26 21:23"/>
    <x v="2"/>
    <s v="P841"/>
    <x v="0"/>
    <s v="Tablet"/>
    <x v="3"/>
    <n v="1741"/>
    <d v="2024-01-26T00:00:00"/>
    <n v="1"/>
  </r>
  <r>
    <s v="U342"/>
    <x v="919"/>
    <s v="2024-01-30 17:34"/>
    <x v="0"/>
    <s v="P134"/>
    <x v="1"/>
    <s v="Mobile"/>
    <x v="0"/>
    <n v="0"/>
    <d v="2024-01-30T00:00:00"/>
    <n v="1"/>
  </r>
  <r>
    <s v="U472"/>
    <x v="677"/>
    <s v="2024-01-24 09:43"/>
    <x v="0"/>
    <s v="P241"/>
    <x v="1"/>
    <s v="Tablet"/>
    <x v="1"/>
    <n v="0"/>
    <d v="2024-01-24T00:00:00"/>
    <n v="1"/>
  </r>
  <r>
    <s v="U337"/>
    <x v="920"/>
    <s v="2024-01-13 00:19"/>
    <x v="1"/>
    <s v="P674"/>
    <x v="2"/>
    <s v="Mobile"/>
    <x v="2"/>
    <n v="0"/>
    <d v="2024-01-13T00:00:00"/>
    <n v="1"/>
  </r>
  <r>
    <s v="U248"/>
    <x v="921"/>
    <s v="2024-01-25 11:04"/>
    <x v="2"/>
    <s v="P426"/>
    <x v="3"/>
    <s v="Desktop"/>
    <x v="3"/>
    <n v="2583"/>
    <d v="2024-01-25T00:00:00"/>
    <n v="1"/>
  </r>
  <r>
    <s v="U682"/>
    <x v="922"/>
    <s v="2024-01-20 07:48"/>
    <x v="0"/>
    <s v="P358"/>
    <x v="4"/>
    <s v="Mobile"/>
    <x v="1"/>
    <n v="0"/>
    <d v="2024-01-20T00:00:00"/>
    <n v="1"/>
  </r>
  <r>
    <s v="U588"/>
    <x v="923"/>
    <s v="2024-01-19 21:57"/>
    <x v="0"/>
    <s v="P298"/>
    <x v="3"/>
    <s v="Tablet"/>
    <x v="0"/>
    <n v="0"/>
    <d v="2024-01-19T00:00:00"/>
    <n v="1"/>
  </r>
  <r>
    <s v="U742"/>
    <x v="349"/>
    <s v="2024-01-26 12:32"/>
    <x v="2"/>
    <s v="P885"/>
    <x v="2"/>
    <s v="Mobile"/>
    <x v="2"/>
    <n v="2841"/>
    <d v="2024-01-26T00:00:00"/>
    <n v="1"/>
  </r>
  <r>
    <s v="U504"/>
    <x v="924"/>
    <s v="2024-01-22 14:43"/>
    <x v="1"/>
    <s v="P249"/>
    <x v="1"/>
    <s v="Desktop"/>
    <x v="4"/>
    <n v="0"/>
    <d v="2024-01-22T00:00:00"/>
    <n v="1"/>
  </r>
  <r>
    <s v="U213"/>
    <x v="925"/>
    <s v="2024-01-18 19:16"/>
    <x v="1"/>
    <s v="P825"/>
    <x v="1"/>
    <s v="Desktop"/>
    <x v="0"/>
    <n v="0"/>
    <d v="2024-01-18T00:00:00"/>
    <n v="1"/>
  </r>
  <r>
    <s v="U565"/>
    <x v="926"/>
    <s v="2024-01-05 22:29"/>
    <x v="1"/>
    <s v="P466"/>
    <x v="4"/>
    <s v="Tablet"/>
    <x v="4"/>
    <n v="0"/>
    <d v="2024-01-05T00:00:00"/>
    <n v="1"/>
  </r>
  <r>
    <s v="U826"/>
    <x v="927"/>
    <s v="2024-01-20 16:08"/>
    <x v="1"/>
    <s v="P357"/>
    <x v="3"/>
    <s v="Tablet"/>
    <x v="2"/>
    <n v="0"/>
    <d v="2024-01-20T00:00:00"/>
    <n v="1"/>
  </r>
  <r>
    <s v="U805"/>
    <x v="928"/>
    <s v="2024-01-23 02:53"/>
    <x v="1"/>
    <s v="P125"/>
    <x v="0"/>
    <s v="Mobile"/>
    <x v="2"/>
    <n v="0"/>
    <d v="2024-01-23T00:00:00"/>
    <n v="1"/>
  </r>
  <r>
    <s v="U793"/>
    <x v="929"/>
    <s v="2024-01-18 09:44"/>
    <x v="0"/>
    <s v="P965"/>
    <x v="1"/>
    <s v="Desktop"/>
    <x v="1"/>
    <n v="0"/>
    <d v="2024-01-18T00:00:00"/>
    <n v="1"/>
  </r>
  <r>
    <s v="U392"/>
    <x v="930"/>
    <s v="2024-01-15 18:02"/>
    <x v="2"/>
    <s v="P526"/>
    <x v="3"/>
    <s v="Desktop"/>
    <x v="4"/>
    <n v="519"/>
    <d v="2024-01-15T00:00:00"/>
    <n v="1"/>
  </r>
  <r>
    <s v="U146"/>
    <x v="931"/>
    <s v="2024-01-16 11:10"/>
    <x v="1"/>
    <s v="P496"/>
    <x v="2"/>
    <s v="Desktop"/>
    <x v="0"/>
    <n v="0"/>
    <d v="2024-01-16T00:00:00"/>
    <n v="1"/>
  </r>
  <r>
    <s v="U584"/>
    <x v="932"/>
    <s v="2024-01-27 14:30"/>
    <x v="1"/>
    <s v="P986"/>
    <x v="1"/>
    <s v="Desktop"/>
    <x v="0"/>
    <n v="0"/>
    <d v="2024-01-27T00:00:00"/>
    <n v="1"/>
  </r>
  <r>
    <s v="U567"/>
    <x v="933"/>
    <s v="2024-02-01 23:36"/>
    <x v="0"/>
    <s v="P267"/>
    <x v="3"/>
    <s v="Tablet"/>
    <x v="1"/>
    <n v="0"/>
    <d v="2024-02-01T00:00:00"/>
    <n v="2"/>
  </r>
  <r>
    <s v="U267"/>
    <x v="934"/>
    <s v="2024-02-02 03:56"/>
    <x v="0"/>
    <s v="P300"/>
    <x v="3"/>
    <s v="Tablet"/>
    <x v="3"/>
    <n v="0"/>
    <d v="2024-02-02T00:00:00"/>
    <n v="2"/>
  </r>
  <r>
    <s v="U500"/>
    <x v="935"/>
    <s v="2024-01-03 21:10"/>
    <x v="0"/>
    <s v="P700"/>
    <x v="0"/>
    <s v="Mobile"/>
    <x v="3"/>
    <n v="0"/>
    <d v="2024-01-03T00:00:00"/>
    <n v="1"/>
  </r>
  <r>
    <s v="U336"/>
    <x v="936"/>
    <s v="2024-01-04 18:26"/>
    <x v="2"/>
    <s v="P191"/>
    <x v="1"/>
    <s v="Mobile"/>
    <x v="0"/>
    <n v="2649"/>
    <d v="2024-01-04T00:00:00"/>
    <n v="1"/>
  </r>
  <r>
    <s v="U806"/>
    <x v="937"/>
    <s v="2024-01-01 09:20"/>
    <x v="1"/>
    <s v="P471"/>
    <x v="4"/>
    <s v="Tablet"/>
    <x v="4"/>
    <n v="0"/>
    <d v="2024-01-01T00:00:00"/>
    <n v="1"/>
  </r>
  <r>
    <s v="U481"/>
    <x v="938"/>
    <s v="2024-01-21 06:31"/>
    <x v="1"/>
    <s v="P790"/>
    <x v="0"/>
    <s v="Desktop"/>
    <x v="2"/>
    <n v="0"/>
    <d v="2024-01-21T00:00:00"/>
    <n v="1"/>
  </r>
  <r>
    <s v="U837"/>
    <x v="939"/>
    <s v="2024-01-05 11:08"/>
    <x v="2"/>
    <s v="P238"/>
    <x v="4"/>
    <s v="Desktop"/>
    <x v="1"/>
    <n v="2373"/>
    <d v="2024-01-05T00:00:00"/>
    <n v="1"/>
  </r>
  <r>
    <s v="U973"/>
    <x v="940"/>
    <s v="2024-01-12 01:15"/>
    <x v="1"/>
    <s v="P162"/>
    <x v="3"/>
    <s v="Tablet"/>
    <x v="0"/>
    <n v="0"/>
    <d v="2024-01-12T00:00:00"/>
    <n v="1"/>
  </r>
  <r>
    <s v="U839"/>
    <x v="941"/>
    <s v="2024-01-21 20:04"/>
    <x v="0"/>
    <s v="P841"/>
    <x v="4"/>
    <s v="Tablet"/>
    <x v="1"/>
    <n v="0"/>
    <d v="2024-01-21T00:00:00"/>
    <n v="1"/>
  </r>
  <r>
    <s v="U427"/>
    <x v="942"/>
    <s v="2024-01-17 23:11"/>
    <x v="0"/>
    <s v="P976"/>
    <x v="1"/>
    <s v="Mobile"/>
    <x v="1"/>
    <n v="0"/>
    <d v="2024-01-17T00:00:0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2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Category">
  <location ref="A13:B19" firstHeaderRow="1" firstDataRow="1" firstDataCol="1"/>
  <pivotFields count="11">
    <pivotField showAll="0"/>
    <pivotField showAll="0"/>
    <pivotField showAll="0"/>
    <pivotField showAll="0"/>
    <pivotField showAll="0"/>
    <pivotField axis="axisRow" showAll="0">
      <items count="6">
        <item x="4"/>
        <item x="0"/>
        <item x="2"/>
        <item x="3"/>
        <item x="1"/>
        <item t="default"/>
      </items>
    </pivotField>
    <pivotField showAll="0"/>
    <pivotField showAll="0"/>
    <pivotField dataField="1" showAll="0"/>
    <pivotField numFmtId="14"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2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Event Type">
  <location ref="J2:K6" firstHeaderRow="1" firstDataRow="1" firstDataCol="1"/>
  <pivotFields count="11">
    <pivotField showAll="0"/>
    <pivotField dataField="1" showAll="0">
      <items count="944">
        <item x="723"/>
        <item x="267"/>
        <item x="527"/>
        <item x="785"/>
        <item x="735"/>
        <item x="435"/>
        <item x="782"/>
        <item x="692"/>
        <item x="553"/>
        <item x="406"/>
        <item x="483"/>
        <item x="757"/>
        <item x="549"/>
        <item x="810"/>
        <item x="111"/>
        <item x="229"/>
        <item x="453"/>
        <item x="525"/>
        <item x="349"/>
        <item x="377"/>
        <item x="491"/>
        <item x="7"/>
        <item x="689"/>
        <item x="660"/>
        <item x="77"/>
        <item x="707"/>
        <item x="201"/>
        <item x="243"/>
        <item x="494"/>
        <item x="200"/>
        <item x="330"/>
        <item x="16"/>
        <item x="130"/>
        <item x="320"/>
        <item x="103"/>
        <item x="241"/>
        <item x="909"/>
        <item x="833"/>
        <item x="501"/>
        <item x="419"/>
        <item x="280"/>
        <item x="122"/>
        <item x="543"/>
        <item x="151"/>
        <item x="753"/>
        <item x="667"/>
        <item x="407"/>
        <item x="411"/>
        <item x="173"/>
        <item x="303"/>
        <item x="658"/>
        <item x="654"/>
        <item x="288"/>
        <item x="520"/>
        <item x="375"/>
        <item x="9"/>
        <item x="100"/>
        <item x="779"/>
        <item x="137"/>
        <item x="125"/>
        <item x="75"/>
        <item x="936"/>
        <item x="625"/>
        <item x="323"/>
        <item x="385"/>
        <item x="538"/>
        <item x="302"/>
        <item x="194"/>
        <item x="631"/>
        <item x="263"/>
        <item x="247"/>
        <item x="832"/>
        <item x="85"/>
        <item x="799"/>
        <item x="454"/>
        <item x="656"/>
        <item x="825"/>
        <item x="3"/>
        <item x="905"/>
        <item x="937"/>
        <item x="719"/>
        <item x="480"/>
        <item x="474"/>
        <item x="146"/>
        <item x="712"/>
        <item x="221"/>
        <item x="873"/>
        <item x="185"/>
        <item x="389"/>
        <item x="629"/>
        <item x="186"/>
        <item x="877"/>
        <item x="809"/>
        <item x="36"/>
        <item x="477"/>
        <item x="683"/>
        <item x="583"/>
        <item x="482"/>
        <item x="94"/>
        <item x="398"/>
        <item x="204"/>
        <item x="52"/>
        <item x="216"/>
        <item x="710"/>
        <item x="479"/>
        <item x="48"/>
        <item x="939"/>
        <item x="686"/>
        <item x="780"/>
        <item x="369"/>
        <item x="915"/>
        <item x="286"/>
        <item x="339"/>
        <item x="205"/>
        <item x="50"/>
        <item x="843"/>
        <item x="428"/>
        <item x="544"/>
        <item x="179"/>
        <item x="924"/>
        <item x="742"/>
        <item x="580"/>
        <item x="187"/>
        <item x="225"/>
        <item x="657"/>
        <item x="444"/>
        <item x="464"/>
        <item x="643"/>
        <item x="275"/>
        <item x="481"/>
        <item x="607"/>
        <item x="387"/>
        <item x="555"/>
        <item x="495"/>
        <item x="98"/>
        <item x="815"/>
        <item x="274"/>
        <item x="717"/>
        <item x="514"/>
        <item x="926"/>
        <item x="579"/>
        <item x="547"/>
        <item x="601"/>
        <item x="400"/>
        <item x="827"/>
        <item x="646"/>
        <item x="371"/>
        <item x="89"/>
        <item x="489"/>
        <item x="394"/>
        <item x="777"/>
        <item x="169"/>
        <item x="139"/>
        <item x="803"/>
        <item x="669"/>
        <item x="627"/>
        <item x="450"/>
        <item x="95"/>
        <item x="92"/>
        <item x="65"/>
        <item x="504"/>
        <item x="781"/>
        <item x="138"/>
        <item x="285"/>
        <item x="363"/>
        <item x="24"/>
        <item x="506"/>
        <item x="434"/>
        <item x="23"/>
        <item x="589"/>
        <item x="516"/>
        <item x="294"/>
        <item x="327"/>
        <item x="770"/>
        <item x="112"/>
        <item x="97"/>
        <item x="316"/>
        <item x="628"/>
        <item x="562"/>
        <item x="344"/>
        <item x="357"/>
        <item x="889"/>
        <item x="776"/>
        <item x="895"/>
        <item x="591"/>
        <item x="748"/>
        <item x="819"/>
        <item x="134"/>
        <item x="58"/>
        <item x="207"/>
        <item x="413"/>
        <item x="639"/>
        <item x="685"/>
        <item x="333"/>
        <item x="530"/>
        <item x="744"/>
        <item x="534"/>
        <item x="709"/>
        <item x="911"/>
        <item x="114"/>
        <item x="640"/>
        <item x="659"/>
        <item x="863"/>
        <item x="360"/>
        <item x="278"/>
        <item x="162"/>
        <item x="760"/>
        <item x="838"/>
        <item x="26"/>
        <item x="859"/>
        <item x="104"/>
        <item x="317"/>
        <item x="226"/>
        <item x="740"/>
        <item x="172"/>
        <item x="533"/>
        <item x="461"/>
        <item x="637"/>
        <item x="121"/>
        <item x="227"/>
        <item x="0"/>
        <item x="572"/>
        <item x="158"/>
        <item x="672"/>
        <item x="90"/>
        <item x="622"/>
        <item x="101"/>
        <item x="933"/>
        <item x="551"/>
        <item x="70"/>
        <item x="340"/>
        <item x="218"/>
        <item x="14"/>
        <item x="855"/>
        <item x="499"/>
        <item x="260"/>
        <item x="887"/>
        <item x="517"/>
        <item x="641"/>
        <item x="567"/>
        <item x="664"/>
        <item x="731"/>
        <item x="220"/>
        <item x="365"/>
        <item x="311"/>
        <item x="938"/>
        <item x="318"/>
        <item x="590"/>
        <item x="733"/>
        <item x="871"/>
        <item x="768"/>
        <item x="635"/>
        <item x="346"/>
        <item x="839"/>
        <item x="792"/>
        <item x="930"/>
        <item x="755"/>
        <item x="295"/>
        <item x="918"/>
        <item x="605"/>
        <item x="677"/>
        <item x="908"/>
        <item x="761"/>
        <item x="704"/>
        <item x="593"/>
        <item x="33"/>
        <item x="907"/>
        <item x="910"/>
        <item x="12"/>
        <item x="882"/>
        <item x="618"/>
        <item x="604"/>
        <item x="362"/>
        <item x="449"/>
        <item x="897"/>
        <item x="778"/>
        <item x="585"/>
        <item x="766"/>
        <item x="126"/>
        <item x="691"/>
        <item x="800"/>
        <item x="665"/>
        <item x="600"/>
        <item x="756"/>
        <item x="341"/>
        <item x="69"/>
        <item x="29"/>
        <item x="182"/>
        <item x="902"/>
        <item x="460"/>
        <item x="30"/>
        <item x="199"/>
        <item x="342"/>
        <item x="487"/>
        <item x="598"/>
        <item x="412"/>
        <item x="577"/>
        <item x="262"/>
        <item x="739"/>
        <item x="265"/>
        <item x="66"/>
        <item x="244"/>
        <item x="222"/>
        <item x="829"/>
        <item x="469"/>
        <item x="844"/>
        <item x="270"/>
        <item x="25"/>
        <item x="148"/>
        <item x="868"/>
        <item x="493"/>
        <item x="440"/>
        <item x="668"/>
        <item x="436"/>
        <item x="161"/>
        <item x="508"/>
        <item x="858"/>
        <item x="81"/>
        <item x="518"/>
        <item x="57"/>
        <item x="41"/>
        <item x="431"/>
        <item x="64"/>
        <item x="301"/>
        <item x="831"/>
        <item x="433"/>
        <item x="847"/>
        <item x="117"/>
        <item x="611"/>
        <item x="279"/>
        <item x="927"/>
        <item x="586"/>
        <item x="554"/>
        <item x="929"/>
        <item x="498"/>
        <item x="922"/>
        <item x="857"/>
        <item x="773"/>
        <item x="560"/>
        <item x="488"/>
        <item x="706"/>
        <item x="397"/>
        <item x="496"/>
        <item x="747"/>
        <item x="828"/>
        <item x="619"/>
        <item x="881"/>
        <item x="885"/>
        <item x="212"/>
        <item x="256"/>
        <item x="312"/>
        <item x="368"/>
        <item x="763"/>
        <item x="851"/>
        <item x="727"/>
        <item x="693"/>
        <item x="55"/>
        <item x="382"/>
        <item x="842"/>
        <item x="906"/>
        <item x="700"/>
        <item x="60"/>
        <item x="678"/>
        <item x="595"/>
        <item x="40"/>
        <item x="19"/>
        <item x="784"/>
        <item x="183"/>
        <item x="314"/>
        <item x="181"/>
        <item x="684"/>
        <item x="475"/>
        <item x="443"/>
        <item x="548"/>
        <item x="253"/>
        <item x="393"/>
        <item x="734"/>
        <item x="633"/>
        <item x="71"/>
        <item x="705"/>
        <item x="308"/>
        <item x="835"/>
        <item x="13"/>
        <item x="334"/>
        <item x="713"/>
        <item x="676"/>
        <item x="410"/>
        <item x="120"/>
        <item x="211"/>
        <item x="124"/>
        <item x="140"/>
        <item x="725"/>
        <item x="430"/>
        <item x="91"/>
        <item x="561"/>
        <item x="105"/>
        <item x="157"/>
        <item x="427"/>
        <item x="472"/>
        <item x="395"/>
        <item x="651"/>
        <item x="699"/>
        <item x="609"/>
        <item x="663"/>
        <item x="509"/>
        <item x="416"/>
        <item x="190"/>
        <item x="174"/>
        <item x="783"/>
        <item x="193"/>
        <item x="730"/>
        <item x="45"/>
        <item x="774"/>
        <item x="448"/>
        <item x="745"/>
        <item x="559"/>
        <item x="582"/>
        <item x="259"/>
        <item x="797"/>
        <item x="399"/>
        <item x="578"/>
        <item x="584"/>
        <item x="823"/>
        <item x="376"/>
        <item x="652"/>
        <item x="674"/>
        <item x="913"/>
        <item x="624"/>
        <item x="820"/>
        <item x="107"/>
        <item x="282"/>
        <item x="893"/>
        <item x="421"/>
        <item x="682"/>
        <item x="626"/>
        <item x="510"/>
        <item x="99"/>
        <item x="291"/>
        <item x="43"/>
        <item x="356"/>
        <item x="807"/>
        <item x="353"/>
        <item x="920"/>
        <item x="208"/>
        <item x="531"/>
        <item x="177"/>
        <item x="565"/>
        <item x="615"/>
        <item x="891"/>
        <item x="128"/>
        <item x="850"/>
        <item x="84"/>
        <item x="56"/>
        <item x="184"/>
        <item x="271"/>
        <item x="790"/>
        <item x="519"/>
        <item x="254"/>
        <item x="246"/>
        <item x="537"/>
        <item x="840"/>
        <item x="869"/>
        <item x="852"/>
        <item x="529"/>
        <item x="31"/>
        <item x="332"/>
        <item x="336"/>
        <item x="131"/>
        <item x="490"/>
        <item x="606"/>
        <item x="68"/>
        <item x="361"/>
        <item x="695"/>
        <item x="167"/>
        <item x="415"/>
        <item x="500"/>
        <item x="113"/>
        <item x="203"/>
        <item x="552"/>
        <item x="300"/>
        <item x="486"/>
        <item x="613"/>
        <item x="864"/>
        <item x="93"/>
        <item x="841"/>
        <item x="470"/>
        <item x="180"/>
        <item x="462"/>
        <item x="322"/>
        <item x="836"/>
        <item x="581"/>
        <item x="571"/>
        <item x="171"/>
        <item x="370"/>
        <item x="53"/>
        <item x="886"/>
        <item x="816"/>
        <item x="729"/>
        <item x="191"/>
        <item x="22"/>
        <item x="621"/>
        <item x="878"/>
        <item x="298"/>
        <item x="904"/>
        <item x="687"/>
        <item x="806"/>
        <item x="901"/>
        <item x="796"/>
        <item x="715"/>
        <item x="388"/>
        <item x="39"/>
        <item x="258"/>
        <item x="438"/>
        <item x="152"/>
        <item x="696"/>
        <item x="786"/>
        <item x="923"/>
        <item x="471"/>
        <item x="44"/>
        <item x="754"/>
        <item x="588"/>
        <item x="919"/>
        <item x="557"/>
        <item x="811"/>
        <item x="170"/>
        <item x="507"/>
        <item x="284"/>
        <item x="632"/>
        <item x="42"/>
        <item x="272"/>
        <item x="524"/>
        <item x="396"/>
        <item x="155"/>
        <item x="814"/>
        <item x="133"/>
        <item x="380"/>
        <item x="132"/>
        <item x="856"/>
        <item x="261"/>
        <item x="655"/>
        <item x="694"/>
        <item x="802"/>
        <item x="563"/>
        <item x="54"/>
        <item x="2"/>
        <item x="899"/>
        <item x="890"/>
        <item x="758"/>
        <item x="47"/>
        <item x="467"/>
        <item x="942"/>
        <item x="408"/>
        <item x="321"/>
        <item x="228"/>
        <item x="364"/>
        <item x="837"/>
        <item x="874"/>
        <item x="634"/>
        <item x="900"/>
        <item x="266"/>
        <item x="824"/>
        <item x="299"/>
        <item x="916"/>
        <item x="441"/>
        <item x="367"/>
        <item x="390"/>
        <item x="79"/>
        <item x="912"/>
        <item x="575"/>
        <item x="281"/>
        <item x="378"/>
        <item x="542"/>
        <item x="645"/>
        <item x="293"/>
        <item x="28"/>
        <item x="741"/>
        <item x="867"/>
        <item x="195"/>
        <item x="465"/>
        <item x="49"/>
        <item x="671"/>
        <item x="87"/>
        <item x="898"/>
        <item x="224"/>
        <item x="5"/>
        <item x="596"/>
        <item x="934"/>
        <item x="452"/>
        <item x="787"/>
        <item x="35"/>
        <item x="76"/>
        <item x="358"/>
        <item x="485"/>
        <item x="653"/>
        <item x="236"/>
        <item x="159"/>
        <item x="528"/>
        <item x="550"/>
        <item x="251"/>
        <item x="703"/>
        <item x="156"/>
        <item x="264"/>
        <item x="310"/>
        <item x="738"/>
        <item x="767"/>
        <item x="935"/>
        <item x="849"/>
        <item x="88"/>
        <item x="880"/>
        <item x="463"/>
        <item x="794"/>
        <item x="34"/>
        <item x="892"/>
        <item x="737"/>
        <item x="801"/>
        <item x="732"/>
        <item x="345"/>
        <item x="245"/>
        <item x="813"/>
        <item x="283"/>
        <item x="568"/>
        <item x="728"/>
        <item x="11"/>
        <item x="290"/>
        <item x="106"/>
        <item x="108"/>
        <item x="232"/>
        <item x="102"/>
        <item x="698"/>
        <item x="59"/>
        <item x="145"/>
        <item x="765"/>
        <item x="804"/>
        <item x="150"/>
        <item x="870"/>
        <item x="564"/>
        <item x="268"/>
        <item x="196"/>
        <item x="541"/>
        <item x="165"/>
        <item x="818"/>
        <item x="875"/>
        <item x="328"/>
        <item x="752"/>
        <item x="366"/>
        <item x="569"/>
        <item x="442"/>
        <item x="149"/>
        <item x="269"/>
        <item x="679"/>
        <item x="324"/>
        <item x="879"/>
        <item x="456"/>
        <item x="348"/>
        <item x="21"/>
        <item x="446"/>
        <item x="383"/>
        <item x="429"/>
        <item x="771"/>
        <item x="325"/>
        <item x="32"/>
        <item x="445"/>
        <item x="197"/>
        <item x="515"/>
        <item x="115"/>
        <item x="417"/>
        <item x="233"/>
        <item x="848"/>
        <item x="96"/>
        <item x="826"/>
        <item x="83"/>
        <item x="928"/>
        <item x="457"/>
        <item x="764"/>
        <item x="422"/>
        <item x="20"/>
        <item x="539"/>
        <item x="215"/>
        <item x="230"/>
        <item x="921"/>
        <item x="414"/>
        <item x="594"/>
        <item x="384"/>
        <item x="144"/>
        <item x="135"/>
        <item x="940"/>
        <item x="350"/>
        <item x="447"/>
        <item x="917"/>
        <item x="72"/>
        <item x="231"/>
        <item x="296"/>
        <item x="931"/>
        <item x="17"/>
        <item x="492"/>
        <item x="914"/>
        <item x="143"/>
        <item x="845"/>
        <item x="403"/>
        <item x="722"/>
        <item x="865"/>
        <item x="642"/>
        <item x="903"/>
        <item x="743"/>
        <item x="458"/>
        <item x="647"/>
        <item x="147"/>
        <item x="662"/>
        <item x="331"/>
        <item x="123"/>
        <item x="701"/>
        <item x="401"/>
        <item x="354"/>
        <item x="599"/>
        <item x="603"/>
        <item x="718"/>
        <item x="237"/>
        <item x="830"/>
        <item x="214"/>
        <item x="610"/>
        <item x="67"/>
        <item x="762"/>
        <item x="697"/>
        <item x="644"/>
        <item x="338"/>
        <item x="883"/>
        <item x="649"/>
        <item x="759"/>
        <item x="884"/>
        <item x="175"/>
        <item x="636"/>
        <item x="566"/>
        <item x="8"/>
        <item x="82"/>
        <item x="511"/>
        <item x="558"/>
        <item x="788"/>
        <item x="119"/>
        <item x="319"/>
        <item x="714"/>
        <item x="379"/>
        <item x="420"/>
        <item x="136"/>
        <item x="523"/>
        <item x="620"/>
        <item x="80"/>
        <item x="661"/>
        <item x="73"/>
        <item x="726"/>
        <item x="941"/>
        <item x="866"/>
        <item x="160"/>
        <item x="546"/>
        <item x="532"/>
        <item x="617"/>
        <item x="386"/>
        <item x="789"/>
        <item x="540"/>
        <item x="576"/>
        <item x="497"/>
        <item x="210"/>
        <item x="666"/>
        <item x="239"/>
        <item x="721"/>
        <item x="10"/>
        <item x="86"/>
        <item x="372"/>
        <item x="248"/>
        <item x="141"/>
        <item x="166"/>
        <item x="673"/>
        <item x="289"/>
        <item x="206"/>
        <item x="252"/>
        <item x="854"/>
        <item x="202"/>
        <item x="817"/>
        <item x="648"/>
        <item x="305"/>
        <item x="521"/>
        <item x="329"/>
        <item x="335"/>
        <item x="872"/>
        <item x="853"/>
        <item x="597"/>
        <item x="502"/>
        <item x="74"/>
        <item x="405"/>
        <item x="570"/>
        <item x="15"/>
        <item x="391"/>
        <item x="808"/>
        <item x="630"/>
        <item x="38"/>
        <item x="418"/>
        <item x="775"/>
        <item x="425"/>
        <item x="198"/>
        <item x="821"/>
        <item x="522"/>
        <item x="680"/>
        <item x="650"/>
        <item x="439"/>
        <item x="587"/>
        <item x="638"/>
        <item x="690"/>
        <item x="409"/>
        <item x="711"/>
        <item x="888"/>
        <item x="423"/>
        <item x="213"/>
        <item x="688"/>
        <item x="46"/>
        <item x="513"/>
        <item x="720"/>
        <item x="861"/>
        <item x="381"/>
        <item x="154"/>
        <item x="217"/>
        <item x="337"/>
        <item x="466"/>
        <item x="373"/>
        <item x="176"/>
        <item x="512"/>
        <item x="478"/>
        <item x="304"/>
        <item x="437"/>
        <item x="473"/>
        <item x="118"/>
        <item x="876"/>
        <item x="4"/>
        <item x="432"/>
        <item x="343"/>
        <item x="359"/>
        <item x="351"/>
        <item x="240"/>
        <item x="746"/>
        <item x="188"/>
        <item x="164"/>
        <item x="142"/>
        <item x="257"/>
        <item x="355"/>
        <item x="116"/>
        <item x="153"/>
        <item x="292"/>
        <item x="78"/>
        <item x="503"/>
        <item x="374"/>
        <item x="242"/>
        <item x="235"/>
        <item x="178"/>
        <item x="862"/>
        <item x="306"/>
        <item x="51"/>
        <item x="860"/>
        <item x="62"/>
        <item x="592"/>
        <item x="63"/>
        <item x="670"/>
        <item x="189"/>
        <item x="249"/>
        <item x="297"/>
        <item x="925"/>
        <item x="535"/>
        <item x="276"/>
        <item x="273"/>
        <item x="536"/>
        <item x="18"/>
        <item x="313"/>
        <item x="526"/>
        <item x="451"/>
        <item x="795"/>
        <item x="468"/>
        <item x="424"/>
        <item x="805"/>
        <item x="277"/>
        <item x="614"/>
        <item x="426"/>
        <item x="307"/>
        <item x="459"/>
        <item x="812"/>
        <item x="255"/>
        <item x="129"/>
        <item x="127"/>
        <item x="793"/>
        <item x="209"/>
        <item x="602"/>
        <item x="392"/>
        <item x="309"/>
        <item x="612"/>
        <item x="484"/>
        <item x="608"/>
        <item x="573"/>
        <item x="455"/>
        <item x="675"/>
        <item x="315"/>
        <item x="234"/>
        <item x="352"/>
        <item x="37"/>
        <item x="219"/>
        <item x="932"/>
        <item x="716"/>
        <item x="556"/>
        <item x="27"/>
        <item x="791"/>
        <item x="250"/>
        <item x="896"/>
        <item x="724"/>
        <item x="545"/>
        <item x="708"/>
        <item x="402"/>
        <item x="223"/>
        <item x="822"/>
        <item x="749"/>
        <item x="736"/>
        <item x="1"/>
        <item x="326"/>
        <item x="476"/>
        <item x="192"/>
        <item x="6"/>
        <item x="834"/>
        <item x="769"/>
        <item x="109"/>
        <item x="894"/>
        <item x="287"/>
        <item x="798"/>
        <item x="681"/>
        <item x="110"/>
        <item x="238"/>
        <item x="623"/>
        <item x="61"/>
        <item x="751"/>
        <item x="168"/>
        <item x="347"/>
        <item x="404"/>
        <item x="772"/>
        <item x="846"/>
        <item x="750"/>
        <item x="574"/>
        <item x="505"/>
        <item x="702"/>
        <item x="163"/>
        <item x="616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numFmtId="14"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ession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Category">
  <location ref="G2:H8" firstHeaderRow="1" firstDataRow="1" firstDataCol="1"/>
  <pivotFields count="9">
    <pivotField showAll="0"/>
    <pivotField showAll="0"/>
    <pivotField showAll="0">
      <items count="990">
        <item x="544"/>
        <item x="479"/>
        <item x="579"/>
        <item x="62"/>
        <item x="278"/>
        <item x="983"/>
        <item x="637"/>
        <item x="454"/>
        <item x="241"/>
        <item x="282"/>
        <item x="711"/>
        <item x="650"/>
        <item x="925"/>
        <item x="20"/>
        <item x="207"/>
        <item x="184"/>
        <item x="397"/>
        <item x="585"/>
        <item x="859"/>
        <item x="751"/>
        <item x="794"/>
        <item x="430"/>
        <item x="657"/>
        <item x="949"/>
        <item x="622"/>
        <item x="535"/>
        <item x="166"/>
        <item x="511"/>
        <item x="355"/>
        <item x="528"/>
        <item x="616"/>
        <item x="552"/>
        <item x="262"/>
        <item x="131"/>
        <item x="155"/>
        <item x="222"/>
        <item x="70"/>
        <item x="853"/>
        <item x="217"/>
        <item x="697"/>
        <item x="684"/>
        <item x="685"/>
        <item x="530"/>
        <item x="80"/>
        <item x="99"/>
        <item x="165"/>
        <item x="129"/>
        <item x="947"/>
        <item x="321"/>
        <item x="524"/>
        <item x="220"/>
        <item x="418"/>
        <item x="932"/>
        <item x="59"/>
        <item x="40"/>
        <item x="455"/>
        <item x="176"/>
        <item x="52"/>
        <item x="883"/>
        <item x="613"/>
        <item x="946"/>
        <item x="802"/>
        <item x="109"/>
        <item x="671"/>
        <item x="625"/>
        <item x="167"/>
        <item x="543"/>
        <item x="675"/>
        <item x="452"/>
        <item x="404"/>
        <item x="931"/>
        <item x="505"/>
        <item x="727"/>
        <item x="539"/>
        <item x="124"/>
        <item x="0"/>
        <item x="934"/>
        <item x="375"/>
        <item x="917"/>
        <item x="460"/>
        <item x="125"/>
        <item x="981"/>
        <item x="433"/>
        <item x="941"/>
        <item x="163"/>
        <item x="603"/>
        <item x="672"/>
        <item x="571"/>
        <item x="117"/>
        <item x="229"/>
        <item x="69"/>
        <item x="388"/>
        <item x="339"/>
        <item x="219"/>
        <item x="121"/>
        <item x="681"/>
        <item x="302"/>
        <item x="371"/>
        <item x="82"/>
        <item x="383"/>
        <item x="982"/>
        <item x="428"/>
        <item x="549"/>
        <item x="264"/>
        <item x="190"/>
        <item x="421"/>
        <item x="620"/>
        <item x="632"/>
        <item x="698"/>
        <item x="851"/>
        <item x="952"/>
        <item x="724"/>
        <item x="765"/>
        <item x="679"/>
        <item x="656"/>
        <item x="816"/>
        <item x="943"/>
        <item x="141"/>
        <item x="49"/>
        <item x="130"/>
        <item x="410"/>
        <item x="629"/>
        <item x="710"/>
        <item x="985"/>
        <item x="581"/>
        <item x="44"/>
        <item x="723"/>
        <item x="390"/>
        <item x="972"/>
        <item x="489"/>
        <item x="521"/>
        <item x="2"/>
        <item x="918"/>
        <item x="777"/>
        <item x="821"/>
        <item x="35"/>
        <item x="534"/>
        <item x="354"/>
        <item x="850"/>
        <item x="71"/>
        <item x="402"/>
        <item x="676"/>
        <item x="315"/>
        <item x="621"/>
        <item x="856"/>
        <item x="373"/>
        <item x="891"/>
        <item x="824"/>
        <item x="566"/>
        <item x="367"/>
        <item x="107"/>
        <item x="289"/>
        <item x="11"/>
        <item x="732"/>
        <item x="927"/>
        <item x="64"/>
        <item x="477"/>
        <item x="57"/>
        <item x="378"/>
        <item x="157"/>
        <item x="647"/>
        <item x="424"/>
        <item x="411"/>
        <item x="668"/>
        <item x="905"/>
        <item x="73"/>
        <item x="23"/>
        <item x="266"/>
        <item x="800"/>
        <item x="385"/>
        <item x="213"/>
        <item x="921"/>
        <item x="149"/>
        <item x="540"/>
        <item x="529"/>
        <item x="730"/>
        <item x="652"/>
        <item x="280"/>
        <item x="837"/>
        <item x="522"/>
        <item x="389"/>
        <item x="224"/>
        <item x="862"/>
        <item x="673"/>
        <item x="331"/>
        <item x="747"/>
        <item x="958"/>
        <item x="446"/>
        <item x="956"/>
        <item x="736"/>
        <item x="113"/>
        <item x="320"/>
        <item x="734"/>
        <item x="754"/>
        <item x="196"/>
        <item x="955"/>
        <item x="740"/>
        <item x="696"/>
        <item x="705"/>
        <item x="694"/>
        <item x="147"/>
        <item x="29"/>
        <item x="298"/>
        <item x="268"/>
        <item x="939"/>
        <item x="484"/>
        <item x="252"/>
        <item x="104"/>
        <item x="640"/>
        <item x="223"/>
        <item x="907"/>
        <item x="569"/>
        <item x="881"/>
        <item x="627"/>
        <item x="432"/>
        <item x="81"/>
        <item x="906"/>
        <item x="139"/>
        <item x="123"/>
        <item x="840"/>
        <item x="793"/>
        <item x="401"/>
        <item x="666"/>
        <item x="901"/>
        <item x="920"/>
        <item x="651"/>
        <item x="764"/>
        <item x="442"/>
        <item x="303"/>
        <item x="595"/>
        <item x="204"/>
        <item x="795"/>
        <item x="863"/>
        <item x="439"/>
        <item x="937"/>
        <item x="823"/>
        <item x="870"/>
        <item x="945"/>
        <item x="573"/>
        <item x="283"/>
        <item x="768"/>
        <item x="145"/>
        <item x="98"/>
        <item x="654"/>
        <item x="551"/>
        <item x="30"/>
        <item x="829"/>
        <item x="255"/>
        <item x="889"/>
        <item x="717"/>
        <item x="297"/>
        <item x="188"/>
        <item x="26"/>
        <item x="825"/>
        <item x="12"/>
        <item x="443"/>
        <item x="271"/>
        <item x="67"/>
        <item x="598"/>
        <item x="228"/>
        <item x="478"/>
        <item x="792"/>
        <item x="357"/>
        <item x="153"/>
        <item x="572"/>
        <item x="353"/>
        <item x="308"/>
        <item x="191"/>
        <item x="501"/>
        <item x="352"/>
        <item x="348"/>
        <item x="249"/>
        <item x="619"/>
        <item x="333"/>
        <item x="132"/>
        <item x="83"/>
        <item x="230"/>
        <item x="342"/>
        <item x="76"/>
        <item x="545"/>
        <item x="325"/>
        <item x="614"/>
        <item x="128"/>
        <item x="926"/>
        <item x="745"/>
        <item x="718"/>
        <item x="957"/>
        <item x="253"/>
        <item x="864"/>
        <item x="904"/>
        <item x="156"/>
        <item x="868"/>
        <item x="490"/>
        <item x="790"/>
        <item x="769"/>
        <item x="237"/>
        <item x="600"/>
        <item x="567"/>
        <item x="122"/>
        <item x="749"/>
        <item x="189"/>
        <item x="623"/>
        <item x="376"/>
        <item x="63"/>
        <item x="293"/>
        <item x="127"/>
        <item x="587"/>
        <item x="826"/>
        <item x="256"/>
        <item x="766"/>
        <item x="914"/>
        <item x="892"/>
        <item x="503"/>
        <item x="737"/>
        <item x="893"/>
        <item x="48"/>
        <item x="531"/>
        <item x="986"/>
        <item x="933"/>
        <item x="368"/>
        <item x="779"/>
        <item x="286"/>
        <item x="118"/>
        <item x="412"/>
        <item x="317"/>
        <item x="635"/>
        <item x="106"/>
        <item x="674"/>
        <item x="345"/>
        <item x="461"/>
        <item x="261"/>
        <item x="648"/>
        <item x="41"/>
        <item x="504"/>
        <item x="890"/>
        <item x="46"/>
        <item x="580"/>
        <item x="509"/>
        <item x="775"/>
        <item x="161"/>
        <item x="817"/>
        <item x="254"/>
        <item x="485"/>
        <item x="804"/>
        <item x="547"/>
        <item x="362"/>
        <item x="159"/>
        <item x="965"/>
        <item x="238"/>
        <item x="18"/>
        <item x="233"/>
        <item x="366"/>
        <item x="758"/>
        <item x="427"/>
        <item x="169"/>
        <item x="426"/>
        <item x="134"/>
        <item x="399"/>
        <item x="194"/>
        <item x="242"/>
        <item x="728"/>
        <item x="53"/>
        <item x="801"/>
        <item x="836"/>
        <item x="731"/>
        <item x="725"/>
        <item x="755"/>
        <item x="172"/>
        <item x="19"/>
        <item x="187"/>
        <item x="559"/>
        <item x="398"/>
        <item x="436"/>
        <item x="276"/>
        <item x="248"/>
        <item x="9"/>
        <item x="783"/>
        <item x="610"/>
        <item x="628"/>
        <item x="561"/>
        <item x="743"/>
        <item x="150"/>
        <item x="16"/>
        <item x="372"/>
        <item x="361"/>
        <item x="78"/>
        <item x="459"/>
        <item x="930"/>
        <item x="111"/>
        <item x="92"/>
        <item x="272"/>
        <item x="483"/>
        <item x="611"/>
        <item x="322"/>
        <item x="902"/>
        <item x="120"/>
        <item x="605"/>
        <item x="201"/>
        <item x="878"/>
        <item x="617"/>
        <item x="208"/>
        <item x="748"/>
        <item x="720"/>
        <item x="875"/>
        <item x="691"/>
        <item x="554"/>
        <item x="908"/>
        <item x="277"/>
        <item x="307"/>
        <item x="403"/>
        <item x="497"/>
        <item x="916"/>
        <item x="577"/>
        <item x="323"/>
        <item x="592"/>
        <item x="85"/>
        <item x="340"/>
        <item x="406"/>
        <item x="369"/>
        <item x="68"/>
        <item x="762"/>
        <item x="659"/>
        <item x="936"/>
        <item x="114"/>
        <item x="520"/>
        <item x="1"/>
        <item x="715"/>
        <item x="641"/>
        <item x="913"/>
        <item x="133"/>
        <item x="976"/>
        <item x="820"/>
        <item x="288"/>
        <item x="707"/>
        <item x="813"/>
        <item x="618"/>
        <item x="761"/>
        <item x="785"/>
        <item x="899"/>
        <item x="828"/>
        <item x="716"/>
        <item x="576"/>
        <item x="807"/>
        <item x="292"/>
        <item x="810"/>
        <item x="279"/>
        <item x="689"/>
        <item x="126"/>
        <item x="977"/>
        <item x="527"/>
        <item x="708"/>
        <item x="453"/>
        <item x="885"/>
        <item x="706"/>
        <item x="54"/>
        <item x="341"/>
        <item x="781"/>
        <item x="642"/>
        <item x="395"/>
        <item x="209"/>
        <item x="831"/>
        <item x="944"/>
        <item x="377"/>
        <item x="10"/>
        <item x="548"/>
        <item x="822"/>
        <item x="886"/>
        <item x="466"/>
        <item x="51"/>
        <item x="759"/>
        <item x="334"/>
        <item x="218"/>
        <item x="869"/>
        <item x="910"/>
        <item x="834"/>
        <item x="273"/>
        <item x="215"/>
        <item x="185"/>
        <item x="713"/>
        <item x="423"/>
        <item x="243"/>
        <item x="332"/>
        <item x="517"/>
        <item x="919"/>
        <item x="24"/>
        <item x="546"/>
        <item x="142"/>
        <item x="988"/>
        <item x="306"/>
        <item x="608"/>
        <item x="32"/>
        <item x="634"/>
        <item x="516"/>
        <item x="260"/>
        <item x="284"/>
        <item x="975"/>
        <item x="726"/>
        <item x="144"/>
        <item x="923"/>
        <item x="922"/>
        <item x="258"/>
        <item x="160"/>
        <item x="538"/>
        <item x="93"/>
        <item x="562"/>
        <item x="871"/>
        <item x="733"/>
        <item x="909"/>
        <item x="463"/>
        <item x="971"/>
        <item x="842"/>
        <item x="15"/>
        <item x="450"/>
        <item x="796"/>
        <item x="806"/>
        <item x="887"/>
        <item x="55"/>
        <item x="772"/>
        <item x="269"/>
        <item x="474"/>
        <item x="475"/>
        <item x="884"/>
        <item x="660"/>
        <item x="575"/>
        <item x="90"/>
        <item x="962"/>
        <item x="105"/>
        <item x="690"/>
        <item x="900"/>
        <item x="582"/>
        <item x="968"/>
        <item x="311"/>
        <item x="154"/>
        <item x="294"/>
        <item x="805"/>
        <item x="146"/>
        <item x="338"/>
        <item x="281"/>
        <item x="91"/>
        <item x="590"/>
        <item x="330"/>
        <item x="318"/>
        <item x="498"/>
        <item x="14"/>
        <item x="967"/>
        <item x="687"/>
        <item x="405"/>
        <item x="462"/>
        <item x="391"/>
        <item x="589"/>
        <item x="112"/>
        <item x="429"/>
        <item x="973"/>
        <item x="72"/>
        <item x="774"/>
        <item x="897"/>
        <item x="240"/>
        <item x="287"/>
        <item x="523"/>
        <item x="767"/>
        <item x="638"/>
        <item x="896"/>
        <item x="857"/>
        <item x="250"/>
        <item x="984"/>
        <item x="876"/>
        <item x="335"/>
        <item x="633"/>
        <item x="205"/>
        <item x="928"/>
        <item x="33"/>
        <item x="136"/>
        <item x="358"/>
        <item x="457"/>
        <item x="451"/>
        <item x="472"/>
        <item x="693"/>
        <item x="186"/>
        <item x="37"/>
        <item x="789"/>
        <item x="304"/>
        <item x="599"/>
        <item x="244"/>
        <item x="349"/>
        <item x="583"/>
        <item x="811"/>
        <item x="699"/>
        <item x="309"/>
        <item x="987"/>
        <item x="77"/>
        <item x="158"/>
        <item x="416"/>
        <item x="198"/>
        <item x="3"/>
        <item x="45"/>
        <item x="177"/>
        <item x="36"/>
        <item x="879"/>
        <item x="951"/>
        <item x="203"/>
        <item x="364"/>
        <item x="471"/>
        <item x="458"/>
        <item x="140"/>
        <item x="43"/>
        <item x="486"/>
        <item x="940"/>
        <item x="151"/>
        <item x="86"/>
        <item x="87"/>
        <item x="746"/>
        <item x="702"/>
        <item x="970"/>
        <item x="560"/>
        <item x="915"/>
        <item x="110"/>
        <item x="425"/>
        <item x="363"/>
        <item x="700"/>
        <item x="948"/>
        <item x="563"/>
        <item x="296"/>
        <item x="180"/>
        <item x="227"/>
        <item x="776"/>
        <item x="974"/>
        <item x="116"/>
        <item x="216"/>
        <item x="274"/>
        <item x="7"/>
        <item x="58"/>
        <item x="346"/>
        <item x="895"/>
        <item x="178"/>
        <item x="214"/>
        <item x="843"/>
        <item x="465"/>
        <item x="102"/>
        <item x="8"/>
        <item x="444"/>
        <item x="4"/>
        <item x="518"/>
        <item x="392"/>
        <item x="379"/>
        <item x="263"/>
        <item x="247"/>
        <item x="738"/>
        <item x="488"/>
        <item x="27"/>
        <item x="152"/>
        <item x="495"/>
        <item x="359"/>
        <item x="757"/>
        <item x="381"/>
        <item x="649"/>
        <item x="84"/>
        <item x="285"/>
        <item x="206"/>
        <item x="830"/>
        <item x="854"/>
        <item x="482"/>
        <item x="846"/>
        <item x="924"/>
        <item x="791"/>
        <item x="964"/>
        <item x="558"/>
        <item x="137"/>
        <item x="784"/>
        <item x="100"/>
        <item x="636"/>
        <item x="719"/>
        <item x="265"/>
        <item x="770"/>
        <item x="162"/>
        <item x="168"/>
        <item x="578"/>
        <item x="480"/>
        <item x="597"/>
        <item x="290"/>
        <item x="175"/>
        <item x="514"/>
        <item x="847"/>
        <item x="28"/>
        <item x="493"/>
        <item x="407"/>
        <item x="415"/>
        <item x="882"/>
        <item x="839"/>
        <item x="202"/>
        <item x="712"/>
        <item x="192"/>
        <item x="200"/>
        <item x="686"/>
        <item x="966"/>
        <item x="440"/>
        <item x="56"/>
        <item x="624"/>
        <item x="782"/>
        <item x="31"/>
        <item x="50"/>
        <item x="525"/>
        <item x="138"/>
        <item x="95"/>
        <item x="441"/>
        <item x="609"/>
        <item x="319"/>
        <item x="752"/>
        <item x="596"/>
        <item x="655"/>
        <item x="536"/>
        <item x="314"/>
        <item x="347"/>
        <item x="912"/>
        <item x="344"/>
        <item x="849"/>
        <item x="969"/>
        <item x="231"/>
        <item x="17"/>
        <item x="42"/>
        <item x="584"/>
        <item x="456"/>
        <item x="351"/>
        <item x="464"/>
        <item x="911"/>
        <item x="422"/>
        <item x="291"/>
        <item x="593"/>
        <item x="170"/>
        <item x="259"/>
        <item x="396"/>
        <item x="6"/>
        <item x="604"/>
        <item x="275"/>
        <item x="683"/>
        <item x="236"/>
        <item x="382"/>
        <item x="960"/>
        <item x="329"/>
        <item x="225"/>
        <item x="833"/>
        <item x="773"/>
        <item x="814"/>
        <item x="197"/>
        <item x="393"/>
        <item x="555"/>
        <item x="119"/>
        <item x="438"/>
        <item x="677"/>
        <item x="336"/>
        <item x="819"/>
        <item x="721"/>
        <item x="812"/>
        <item x="556"/>
        <item x="953"/>
        <item x="788"/>
        <item x="420"/>
        <item x="818"/>
        <item x="978"/>
        <item x="270"/>
        <item x="94"/>
        <item x="316"/>
        <item x="468"/>
        <item x="866"/>
        <item x="519"/>
        <item x="299"/>
        <item x="682"/>
        <item x="380"/>
        <item x="565"/>
        <item x="709"/>
        <item x="663"/>
        <item x="877"/>
        <item x="246"/>
        <item x="631"/>
        <item x="195"/>
        <item x="211"/>
        <item x="845"/>
        <item x="470"/>
        <item x="66"/>
        <item x="226"/>
        <item x="88"/>
        <item x="645"/>
        <item x="815"/>
        <item x="510"/>
        <item x="750"/>
        <item x="667"/>
        <item x="179"/>
        <item x="257"/>
        <item x="615"/>
        <item x="753"/>
        <item x="103"/>
        <item x="394"/>
        <item x="701"/>
        <item x="448"/>
        <item x="644"/>
        <item x="305"/>
        <item x="678"/>
        <item x="173"/>
        <item x="729"/>
        <item x="370"/>
        <item x="494"/>
        <item x="935"/>
        <item x="221"/>
        <item x="880"/>
        <item x="324"/>
        <item x="267"/>
        <item x="476"/>
        <item x="437"/>
        <item x="481"/>
        <item x="778"/>
        <item x="512"/>
        <item x="787"/>
        <item x="553"/>
        <item x="199"/>
        <item x="21"/>
        <item x="496"/>
        <item x="763"/>
        <item x="13"/>
        <item x="232"/>
        <item x="626"/>
        <item x="182"/>
        <item x="903"/>
        <item x="374"/>
        <item x="662"/>
        <item x="469"/>
        <item x="492"/>
        <item x="873"/>
        <item x="588"/>
        <item x="356"/>
        <item x="961"/>
        <item x="234"/>
        <item x="326"/>
        <item x="695"/>
        <item x="47"/>
        <item x="838"/>
        <item x="500"/>
        <item x="570"/>
        <item x="670"/>
        <item x="526"/>
        <item x="5"/>
        <item x="210"/>
        <item x="591"/>
        <item x="337"/>
        <item x="739"/>
        <item x="445"/>
        <item x="499"/>
        <item x="467"/>
        <item x="963"/>
        <item x="387"/>
        <item x="606"/>
        <item x="703"/>
        <item x="61"/>
        <item x="65"/>
        <item x="449"/>
        <item x="760"/>
        <item x="688"/>
        <item x="874"/>
        <item x="661"/>
        <item x="115"/>
        <item x="413"/>
        <item x="409"/>
        <item x="74"/>
        <item x="602"/>
        <item x="798"/>
        <item x="692"/>
        <item x="541"/>
        <item x="301"/>
        <item x="251"/>
        <item x="235"/>
        <item x="183"/>
        <item x="586"/>
        <item x="557"/>
        <item x="550"/>
        <item x="532"/>
        <item x="860"/>
        <item x="852"/>
        <item x="929"/>
        <item x="60"/>
        <item x="653"/>
        <item x="239"/>
        <item x="867"/>
        <item x="646"/>
        <item x="809"/>
        <item x="89"/>
        <item x="408"/>
        <item x="365"/>
        <item x="714"/>
        <item x="858"/>
        <item x="312"/>
        <item x="360"/>
        <item x="39"/>
        <item x="328"/>
        <item x="808"/>
        <item x="855"/>
        <item x="434"/>
        <item x="865"/>
        <item x="295"/>
        <item x="400"/>
        <item x="954"/>
        <item x="313"/>
        <item x="542"/>
        <item x="164"/>
        <item x="473"/>
        <item x="25"/>
        <item x="515"/>
        <item x="827"/>
        <item x="143"/>
        <item x="101"/>
        <item x="799"/>
        <item x="639"/>
        <item x="601"/>
        <item x="607"/>
        <item x="343"/>
        <item x="174"/>
        <item x="419"/>
        <item x="979"/>
        <item x="612"/>
        <item x="384"/>
        <item x="980"/>
        <item x="533"/>
        <item x="79"/>
        <item x="417"/>
        <item x="844"/>
        <item x="508"/>
        <item x="797"/>
        <item x="744"/>
        <item x="735"/>
        <item x="669"/>
        <item x="841"/>
        <item x="245"/>
        <item x="835"/>
        <item x="898"/>
        <item x="630"/>
        <item x="513"/>
        <item x="780"/>
        <item x="447"/>
        <item x="350"/>
        <item x="181"/>
        <item x="848"/>
        <item x="507"/>
        <item x="643"/>
        <item x="832"/>
        <item x="108"/>
        <item x="742"/>
        <item x="414"/>
        <item x="680"/>
        <item x="771"/>
        <item x="148"/>
        <item x="193"/>
        <item x="756"/>
        <item x="537"/>
        <item x="665"/>
        <item x="212"/>
        <item x="861"/>
        <item x="722"/>
        <item x="803"/>
        <item x="135"/>
        <item x="502"/>
        <item x="872"/>
        <item x="564"/>
        <item x="741"/>
        <item x="487"/>
        <item x="22"/>
        <item x="75"/>
        <item x="506"/>
        <item x="171"/>
        <item x="38"/>
        <item x="658"/>
        <item x="431"/>
        <item x="34"/>
        <item x="938"/>
        <item x="942"/>
        <item x="97"/>
        <item x="491"/>
        <item x="386"/>
        <item x="327"/>
        <item x="435"/>
        <item x="704"/>
        <item x="786"/>
        <item x="664"/>
        <item x="888"/>
        <item x="959"/>
        <item x="594"/>
        <item x="894"/>
        <item x="96"/>
        <item x="574"/>
        <item x="568"/>
        <item x="950"/>
        <item x="300"/>
        <item x="310"/>
        <item t="default"/>
      </items>
    </pivotField>
    <pivotField showAll="0"/>
    <pivotField showAll="0"/>
    <pivotField axis="axisRow" showAll="0">
      <items count="6">
        <item x="4"/>
        <item x="0"/>
        <item x="2"/>
        <item x="3"/>
        <item x="1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dataField="1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Revenue" fld="8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City">
  <location ref="D2:E8" firstHeaderRow="1" firstDataRow="1" firstDataCol="1"/>
  <pivotFields count="9"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1"/>
        <item x="0"/>
        <item x="4"/>
        <item t="default"/>
      </items>
    </pivotField>
    <pivotField dataField="1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Product Category">
  <location ref="A2:B8" firstHeaderRow="1" firstDataRow="1" firstDataCol="1"/>
  <pivotFields count="9">
    <pivotField showAll="0"/>
    <pivotField showAll="0"/>
    <pivotField showAll="0"/>
    <pivotField showAll="0"/>
    <pivotField showAll="0"/>
    <pivotField axis="axisRow" showAll="0">
      <items count="6">
        <item x="4"/>
        <item x="0"/>
        <item x="2"/>
        <item x="3"/>
        <item x="1"/>
        <item t="default"/>
      </items>
    </pivotField>
    <pivotField showAll="0"/>
    <pivotField showAll="0"/>
    <pivotField dataField="1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1"/>
  <sheetViews>
    <sheetView topLeftCell="A977" workbookViewId="0">
      <selection activeCell="P12" sqref="P12"/>
    </sheetView>
  </sheetViews>
  <sheetFormatPr defaultRowHeight="15" x14ac:dyDescent="0.25"/>
  <cols>
    <col min="2" max="2" width="10.7109375" customWidth="1"/>
    <col min="3" max="3" width="19.7109375" customWidth="1"/>
    <col min="4" max="4" width="17" customWidth="1"/>
    <col min="5" max="5" width="11.5703125" customWidth="1"/>
    <col min="6" max="6" width="13.28515625" customWidth="1"/>
    <col min="7" max="7" width="13.42578125" customWidth="1"/>
    <col min="8" max="8" width="11.85546875" customWidth="1"/>
    <col min="10" max="10" width="11.85546875" customWidth="1"/>
    <col min="15" max="15" width="16" customWidth="1"/>
    <col min="16" max="16" width="11.5703125" bestFit="1" customWidth="1"/>
  </cols>
  <sheetData>
    <row r="1" spans="1:18" ht="26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3152</v>
      </c>
      <c r="K1" s="2" t="s">
        <v>3153</v>
      </c>
      <c r="L1" s="11"/>
      <c r="M1" s="11"/>
    </row>
    <row r="2" spans="1:18" ht="15.75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0</v>
      </c>
      <c r="J2" s="12">
        <f>INT(C2)</f>
        <v>45294</v>
      </c>
      <c r="K2" s="14">
        <f>MONTH(C2)</f>
        <v>1</v>
      </c>
      <c r="L2" s="13"/>
      <c r="M2" s="13"/>
      <c r="N2" s="3" t="s">
        <v>3142</v>
      </c>
      <c r="O2" s="3"/>
      <c r="P2" s="3">
        <f>COUNTIF(D2:D1001,"Purchase")</f>
        <v>309</v>
      </c>
    </row>
    <row r="3" spans="1:18" ht="15.75" x14ac:dyDescent="0.25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>
        <v>0</v>
      </c>
      <c r="J3" s="12">
        <f>INT(C3)</f>
        <v>45306</v>
      </c>
      <c r="K3" s="14">
        <f>MONTH(C3)</f>
        <v>1</v>
      </c>
      <c r="L3" s="13"/>
      <c r="M3" s="13"/>
      <c r="N3" s="3" t="s">
        <v>3143</v>
      </c>
      <c r="O3" s="3"/>
      <c r="P3" s="3">
        <f>COUNTIF(D:D,"Add_to_Cart")</f>
        <v>355</v>
      </c>
    </row>
    <row r="4" spans="1:18" ht="15.75" x14ac:dyDescent="0.25">
      <c r="A4" s="1" t="s">
        <v>25</v>
      </c>
      <c r="B4" s="1" t="s">
        <v>26</v>
      </c>
      <c r="C4" s="1" t="s">
        <v>27</v>
      </c>
      <c r="D4" s="1" t="s">
        <v>12</v>
      </c>
      <c r="E4" s="1" t="s">
        <v>28</v>
      </c>
      <c r="F4" s="1" t="s">
        <v>29</v>
      </c>
      <c r="G4" s="1" t="s">
        <v>15</v>
      </c>
      <c r="H4" s="1" t="s">
        <v>30</v>
      </c>
      <c r="I4" s="1">
        <v>0</v>
      </c>
      <c r="J4" s="12">
        <f t="shared" ref="J4:J67" si="0">INT(C4)</f>
        <v>45297</v>
      </c>
      <c r="K4" s="14">
        <f t="shared" ref="K4:K67" si="1">MONTH(C4)</f>
        <v>1</v>
      </c>
      <c r="L4" s="13"/>
      <c r="M4" s="13"/>
      <c r="N4" s="3" t="s">
        <v>3144</v>
      </c>
      <c r="O4" s="3"/>
      <c r="P4" s="3">
        <f>COUNTIF(D2:D1001,"View")</f>
        <v>336</v>
      </c>
    </row>
    <row r="5" spans="1:18" ht="15.75" x14ac:dyDescent="0.25">
      <c r="A5" s="1" t="s">
        <v>31</v>
      </c>
      <c r="B5" s="1" t="s">
        <v>32</v>
      </c>
      <c r="C5" s="1" t="s">
        <v>33</v>
      </c>
      <c r="D5" s="1" t="s">
        <v>12</v>
      </c>
      <c r="E5" s="1" t="s">
        <v>34</v>
      </c>
      <c r="F5" s="1" t="s">
        <v>14</v>
      </c>
      <c r="G5" s="1" t="s">
        <v>35</v>
      </c>
      <c r="H5" s="1" t="s">
        <v>16</v>
      </c>
      <c r="I5" s="1">
        <v>0</v>
      </c>
      <c r="J5" s="12">
        <f t="shared" si="0"/>
        <v>45313</v>
      </c>
      <c r="K5" s="14">
        <f t="shared" si="1"/>
        <v>1</v>
      </c>
      <c r="L5" s="13"/>
      <c r="M5" s="13"/>
      <c r="N5" s="4" t="s">
        <v>3145</v>
      </c>
      <c r="O5" s="5"/>
      <c r="P5" s="3">
        <f>SUM(P2:P4)</f>
        <v>1000</v>
      </c>
    </row>
    <row r="6" spans="1:18" x14ac:dyDescent="0.25">
      <c r="A6" s="1" t="s">
        <v>36</v>
      </c>
      <c r="B6" s="1" t="s">
        <v>37</v>
      </c>
      <c r="C6" s="1" t="s">
        <v>38</v>
      </c>
      <c r="D6" s="1" t="s">
        <v>20</v>
      </c>
      <c r="E6" s="1" t="s">
        <v>39</v>
      </c>
      <c r="F6" s="1" t="s">
        <v>40</v>
      </c>
      <c r="G6" s="1" t="s">
        <v>35</v>
      </c>
      <c r="H6" s="1" t="s">
        <v>41</v>
      </c>
      <c r="I6" s="1">
        <v>0</v>
      </c>
      <c r="J6" s="12">
        <f t="shared" si="0"/>
        <v>45314</v>
      </c>
      <c r="K6" s="14">
        <f t="shared" si="1"/>
        <v>1</v>
      </c>
      <c r="L6" s="13"/>
      <c r="M6" s="13"/>
    </row>
    <row r="7" spans="1:18" ht="15.75" x14ac:dyDescent="0.25">
      <c r="A7" s="1" t="s">
        <v>42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29</v>
      </c>
      <c r="G7" s="1" t="s">
        <v>15</v>
      </c>
      <c r="H7" s="1" t="s">
        <v>24</v>
      </c>
      <c r="I7" s="1">
        <v>1377</v>
      </c>
      <c r="J7" s="12">
        <f t="shared" si="0"/>
        <v>45321</v>
      </c>
      <c r="K7" s="14">
        <f t="shared" si="1"/>
        <v>1</v>
      </c>
      <c r="L7" s="13"/>
      <c r="M7" s="13"/>
      <c r="N7" s="6" t="s">
        <v>3146</v>
      </c>
      <c r="P7" s="7">
        <f>SUM(I2:I1001)</f>
        <v>809550</v>
      </c>
    </row>
    <row r="8" spans="1:18" ht="15.75" x14ac:dyDescent="0.25">
      <c r="A8" s="1" t="s">
        <v>47</v>
      </c>
      <c r="B8" s="1" t="s">
        <v>48</v>
      </c>
      <c r="C8" s="1" t="s">
        <v>49</v>
      </c>
      <c r="D8" s="1" t="s">
        <v>20</v>
      </c>
      <c r="E8" s="1" t="s">
        <v>50</v>
      </c>
      <c r="F8" s="1" t="s">
        <v>29</v>
      </c>
      <c r="G8" s="1" t="s">
        <v>35</v>
      </c>
      <c r="H8" s="1" t="s">
        <v>30</v>
      </c>
      <c r="I8" s="1">
        <v>0</v>
      </c>
      <c r="J8" s="12">
        <f t="shared" si="0"/>
        <v>45317</v>
      </c>
      <c r="K8" s="14">
        <f t="shared" si="1"/>
        <v>1</v>
      </c>
      <c r="L8" s="13"/>
      <c r="M8" s="13"/>
      <c r="N8" s="6" t="s">
        <v>3147</v>
      </c>
      <c r="Q8">
        <f>MAX(I2:I1001)</f>
        <v>4997</v>
      </c>
      <c r="R8" t="str">
        <f>LOOKUP(Q8,I2:I1001,H2:H1001)</f>
        <v>Hyderabad</v>
      </c>
    </row>
    <row r="9" spans="1:18" x14ac:dyDescent="0.25">
      <c r="A9" s="1" t="s">
        <v>51</v>
      </c>
      <c r="B9" s="1" t="s">
        <v>52</v>
      </c>
      <c r="C9" s="1" t="s">
        <v>53</v>
      </c>
      <c r="D9" s="1" t="s">
        <v>20</v>
      </c>
      <c r="E9" s="1" t="s">
        <v>54</v>
      </c>
      <c r="F9" s="1" t="s">
        <v>22</v>
      </c>
      <c r="G9" s="1" t="s">
        <v>23</v>
      </c>
      <c r="H9" s="1" t="s">
        <v>55</v>
      </c>
      <c r="I9" s="1">
        <v>0</v>
      </c>
      <c r="J9" s="12">
        <f t="shared" si="0"/>
        <v>45314</v>
      </c>
      <c r="K9" s="14">
        <f t="shared" si="1"/>
        <v>1</v>
      </c>
      <c r="L9" s="13"/>
      <c r="M9" s="13"/>
    </row>
    <row r="10" spans="1:18" x14ac:dyDescent="0.25">
      <c r="A10" s="1" t="s">
        <v>56</v>
      </c>
      <c r="B10" s="1" t="s">
        <v>57</v>
      </c>
      <c r="C10" s="1" t="s">
        <v>58</v>
      </c>
      <c r="D10" s="1" t="s">
        <v>12</v>
      </c>
      <c r="E10" s="1" t="s">
        <v>59</v>
      </c>
      <c r="F10" s="1" t="s">
        <v>22</v>
      </c>
      <c r="G10" s="1" t="s">
        <v>35</v>
      </c>
      <c r="H10" s="1" t="s">
        <v>24</v>
      </c>
      <c r="I10" s="1">
        <v>0</v>
      </c>
      <c r="J10" s="12">
        <f t="shared" si="0"/>
        <v>45314</v>
      </c>
      <c r="K10" s="14">
        <f t="shared" si="1"/>
        <v>1</v>
      </c>
      <c r="L10" s="13"/>
      <c r="M10" s="13"/>
    </row>
    <row r="11" spans="1:18" x14ac:dyDescent="0.25">
      <c r="A11" s="1" t="s">
        <v>51</v>
      </c>
      <c r="B11" s="1" t="s">
        <v>60</v>
      </c>
      <c r="C11" s="1" t="s">
        <v>61</v>
      </c>
      <c r="D11" s="1" t="s">
        <v>20</v>
      </c>
      <c r="E11" s="1" t="s">
        <v>62</v>
      </c>
      <c r="F11" s="1" t="s">
        <v>29</v>
      </c>
      <c r="G11" s="1" t="s">
        <v>15</v>
      </c>
      <c r="H11" s="1" t="s">
        <v>55</v>
      </c>
      <c r="I11" s="1">
        <v>0</v>
      </c>
      <c r="J11" s="12">
        <f t="shared" si="0"/>
        <v>45305</v>
      </c>
      <c r="K11" s="14">
        <f t="shared" si="1"/>
        <v>1</v>
      </c>
      <c r="L11" s="13"/>
      <c r="M11" s="13"/>
    </row>
    <row r="12" spans="1:18" x14ac:dyDescent="0.25">
      <c r="A12" s="1" t="s">
        <v>63</v>
      </c>
      <c r="B12" s="1" t="s">
        <v>64</v>
      </c>
      <c r="C12" s="1" t="s">
        <v>65</v>
      </c>
      <c r="D12" s="1" t="s">
        <v>12</v>
      </c>
      <c r="E12" s="1" t="s">
        <v>66</v>
      </c>
      <c r="F12" s="1" t="s">
        <v>14</v>
      </c>
      <c r="G12" s="1" t="s">
        <v>35</v>
      </c>
      <c r="H12" s="1" t="s">
        <v>41</v>
      </c>
      <c r="I12" s="1">
        <v>0</v>
      </c>
      <c r="J12" s="12">
        <f t="shared" si="0"/>
        <v>45308</v>
      </c>
      <c r="K12" s="14">
        <f t="shared" si="1"/>
        <v>1</v>
      </c>
      <c r="L12" s="13"/>
      <c r="M12" s="13"/>
    </row>
    <row r="13" spans="1:18" x14ac:dyDescent="0.25">
      <c r="A13" s="1" t="s">
        <v>67</v>
      </c>
      <c r="B13" s="1" t="s">
        <v>68</v>
      </c>
      <c r="C13" s="1" t="s">
        <v>69</v>
      </c>
      <c r="D13" s="1" t="s">
        <v>20</v>
      </c>
      <c r="E13" s="1" t="s">
        <v>70</v>
      </c>
      <c r="F13" s="1" t="s">
        <v>22</v>
      </c>
      <c r="G13" s="1" t="s">
        <v>15</v>
      </c>
      <c r="H13" s="1" t="s">
        <v>30</v>
      </c>
      <c r="I13" s="1">
        <v>0</v>
      </c>
      <c r="J13" s="12">
        <f t="shared" si="0"/>
        <v>45297</v>
      </c>
      <c r="K13" s="14">
        <f t="shared" si="1"/>
        <v>1</v>
      </c>
      <c r="L13" s="13"/>
      <c r="M13" s="13"/>
    </row>
    <row r="14" spans="1:18" x14ac:dyDescent="0.25">
      <c r="A14" s="1" t="s">
        <v>71</v>
      </c>
      <c r="B14" s="1" t="s">
        <v>72</v>
      </c>
      <c r="C14" s="1" t="s">
        <v>73</v>
      </c>
      <c r="D14" s="1" t="s">
        <v>45</v>
      </c>
      <c r="E14" s="1" t="s">
        <v>74</v>
      </c>
      <c r="F14" s="1" t="s">
        <v>75</v>
      </c>
      <c r="G14" s="1" t="s">
        <v>23</v>
      </c>
      <c r="H14" s="1" t="s">
        <v>41</v>
      </c>
      <c r="I14" s="1">
        <v>1927</v>
      </c>
      <c r="J14" s="12">
        <f t="shared" si="0"/>
        <v>45301</v>
      </c>
      <c r="K14" s="14">
        <f t="shared" si="1"/>
        <v>1</v>
      </c>
      <c r="L14" s="13"/>
      <c r="M14" s="13"/>
    </row>
    <row r="15" spans="1:18" x14ac:dyDescent="0.25">
      <c r="A15" s="1" t="s">
        <v>76</v>
      </c>
      <c r="B15" s="1" t="s">
        <v>77</v>
      </c>
      <c r="C15" s="1" t="s">
        <v>78</v>
      </c>
      <c r="D15" s="1" t="s">
        <v>45</v>
      </c>
      <c r="E15" s="1" t="s">
        <v>79</v>
      </c>
      <c r="F15" s="1" t="s">
        <v>22</v>
      </c>
      <c r="G15" s="1" t="s">
        <v>15</v>
      </c>
      <c r="H15" s="1" t="s">
        <v>41</v>
      </c>
      <c r="I15" s="1">
        <v>1464</v>
      </c>
      <c r="J15" s="12">
        <f t="shared" si="0"/>
        <v>45320</v>
      </c>
      <c r="K15" s="14">
        <f t="shared" si="1"/>
        <v>1</v>
      </c>
      <c r="L15" s="13"/>
      <c r="M15" s="13"/>
    </row>
    <row r="16" spans="1:18" x14ac:dyDescent="0.25">
      <c r="A16" s="1" t="s">
        <v>80</v>
      </c>
      <c r="B16" s="1" t="s">
        <v>81</v>
      </c>
      <c r="C16" s="1" t="s">
        <v>82</v>
      </c>
      <c r="D16" s="1" t="s">
        <v>20</v>
      </c>
      <c r="E16" s="1" t="s">
        <v>83</v>
      </c>
      <c r="F16" s="1" t="s">
        <v>40</v>
      </c>
      <c r="G16" s="1" t="s">
        <v>35</v>
      </c>
      <c r="H16" s="1" t="s">
        <v>30</v>
      </c>
      <c r="I16" s="1">
        <v>0</v>
      </c>
      <c r="J16" s="12">
        <f t="shared" si="0"/>
        <v>45311</v>
      </c>
      <c r="K16" s="14">
        <f t="shared" si="1"/>
        <v>1</v>
      </c>
      <c r="L16" s="13"/>
      <c r="M16" s="13"/>
    </row>
    <row r="17" spans="1:13" x14ac:dyDescent="0.25">
      <c r="A17" s="1" t="s">
        <v>84</v>
      </c>
      <c r="B17" s="1" t="s">
        <v>85</v>
      </c>
      <c r="C17" s="1" t="s">
        <v>86</v>
      </c>
      <c r="D17" s="1" t="s">
        <v>12</v>
      </c>
      <c r="E17" s="1" t="s">
        <v>87</v>
      </c>
      <c r="F17" s="1" t="s">
        <v>40</v>
      </c>
      <c r="G17" s="1" t="s">
        <v>35</v>
      </c>
      <c r="H17" s="1" t="s">
        <v>55</v>
      </c>
      <c r="I17" s="1">
        <v>0</v>
      </c>
      <c r="J17" s="12">
        <f t="shared" si="0"/>
        <v>45309</v>
      </c>
      <c r="K17" s="14">
        <f t="shared" si="1"/>
        <v>1</v>
      </c>
      <c r="L17" s="13"/>
      <c r="M17" s="13"/>
    </row>
    <row r="18" spans="1:13" x14ac:dyDescent="0.25">
      <c r="A18" s="1" t="s">
        <v>88</v>
      </c>
      <c r="B18" s="1" t="s">
        <v>89</v>
      </c>
      <c r="C18" s="1" t="s">
        <v>90</v>
      </c>
      <c r="D18" s="1" t="s">
        <v>12</v>
      </c>
      <c r="E18" s="1" t="s">
        <v>91</v>
      </c>
      <c r="F18" s="1" t="s">
        <v>40</v>
      </c>
      <c r="G18" s="1" t="s">
        <v>15</v>
      </c>
      <c r="H18" s="1" t="s">
        <v>24</v>
      </c>
      <c r="I18" s="1">
        <v>0</v>
      </c>
      <c r="J18" s="12">
        <f t="shared" si="0"/>
        <v>45305</v>
      </c>
      <c r="K18" s="14">
        <f t="shared" si="1"/>
        <v>1</v>
      </c>
      <c r="L18" s="13"/>
      <c r="M18" s="13"/>
    </row>
    <row r="19" spans="1:13" x14ac:dyDescent="0.25">
      <c r="A19" s="1" t="s">
        <v>92</v>
      </c>
      <c r="B19" s="1" t="s">
        <v>93</v>
      </c>
      <c r="C19" s="1" t="s">
        <v>94</v>
      </c>
      <c r="D19" s="1" t="s">
        <v>12</v>
      </c>
      <c r="E19" s="1" t="s">
        <v>95</v>
      </c>
      <c r="F19" s="1" t="s">
        <v>22</v>
      </c>
      <c r="G19" s="1" t="s">
        <v>15</v>
      </c>
      <c r="H19" s="1" t="s">
        <v>24</v>
      </c>
      <c r="I19" s="1">
        <v>0</v>
      </c>
      <c r="J19" s="12">
        <f t="shared" si="0"/>
        <v>45317</v>
      </c>
      <c r="K19" s="14">
        <f t="shared" si="1"/>
        <v>1</v>
      </c>
      <c r="L19" s="13"/>
      <c r="M19" s="13"/>
    </row>
    <row r="20" spans="1:13" x14ac:dyDescent="0.25">
      <c r="A20" s="1" t="s">
        <v>96</v>
      </c>
      <c r="B20" s="1" t="s">
        <v>97</v>
      </c>
      <c r="C20" s="1" t="s">
        <v>98</v>
      </c>
      <c r="D20" s="1" t="s">
        <v>45</v>
      </c>
      <c r="E20" s="1" t="s">
        <v>99</v>
      </c>
      <c r="F20" s="1" t="s">
        <v>40</v>
      </c>
      <c r="G20" s="1" t="s">
        <v>23</v>
      </c>
      <c r="H20" s="1" t="s">
        <v>55</v>
      </c>
      <c r="I20" s="1">
        <v>3864</v>
      </c>
      <c r="J20" s="12">
        <f t="shared" si="0"/>
        <v>45304</v>
      </c>
      <c r="K20" s="14">
        <f t="shared" si="1"/>
        <v>1</v>
      </c>
      <c r="L20" s="13"/>
      <c r="M20" s="13"/>
    </row>
    <row r="21" spans="1:13" x14ac:dyDescent="0.25">
      <c r="A21" s="1" t="s">
        <v>100</v>
      </c>
      <c r="B21" s="1" t="s">
        <v>101</v>
      </c>
      <c r="C21" s="1" t="s">
        <v>102</v>
      </c>
      <c r="D21" s="1" t="s">
        <v>20</v>
      </c>
      <c r="E21" s="1" t="s">
        <v>103</v>
      </c>
      <c r="F21" s="1" t="s">
        <v>75</v>
      </c>
      <c r="G21" s="1" t="s">
        <v>35</v>
      </c>
      <c r="H21" s="1" t="s">
        <v>55</v>
      </c>
      <c r="I21" s="1">
        <v>0</v>
      </c>
      <c r="J21" s="12">
        <f t="shared" si="0"/>
        <v>45304</v>
      </c>
      <c r="K21" s="14">
        <f t="shared" si="1"/>
        <v>1</v>
      </c>
      <c r="L21" s="13"/>
      <c r="M21" s="13"/>
    </row>
    <row r="22" spans="1:13" x14ac:dyDescent="0.25">
      <c r="A22" s="1" t="s">
        <v>104</v>
      </c>
      <c r="B22" s="1" t="s">
        <v>105</v>
      </c>
      <c r="C22" s="1" t="s">
        <v>106</v>
      </c>
      <c r="D22" s="1" t="s">
        <v>20</v>
      </c>
      <c r="E22" s="1" t="s">
        <v>107</v>
      </c>
      <c r="F22" s="1" t="s">
        <v>75</v>
      </c>
      <c r="G22" s="1" t="s">
        <v>15</v>
      </c>
      <c r="H22" s="1" t="s">
        <v>24</v>
      </c>
      <c r="I22" s="1">
        <v>0</v>
      </c>
      <c r="J22" s="12">
        <f t="shared" si="0"/>
        <v>45292</v>
      </c>
      <c r="K22" s="14">
        <f t="shared" si="1"/>
        <v>1</v>
      </c>
      <c r="L22" s="13"/>
      <c r="M22" s="13"/>
    </row>
    <row r="23" spans="1:13" x14ac:dyDescent="0.25">
      <c r="A23" s="1" t="s">
        <v>108</v>
      </c>
      <c r="B23" s="1" t="s">
        <v>109</v>
      </c>
      <c r="C23" s="1" t="s">
        <v>110</v>
      </c>
      <c r="D23" s="1" t="s">
        <v>12</v>
      </c>
      <c r="E23" s="1" t="s">
        <v>111</v>
      </c>
      <c r="F23" s="1" t="s">
        <v>22</v>
      </c>
      <c r="G23" s="1" t="s">
        <v>35</v>
      </c>
      <c r="H23" s="1" t="s">
        <v>24</v>
      </c>
      <c r="I23" s="1">
        <v>0</v>
      </c>
      <c r="J23" s="12">
        <f t="shared" si="0"/>
        <v>45320</v>
      </c>
      <c r="K23" s="14">
        <f t="shared" si="1"/>
        <v>1</v>
      </c>
      <c r="L23" s="13"/>
      <c r="M23" s="13"/>
    </row>
    <row r="24" spans="1:13" x14ac:dyDescent="0.25">
      <c r="A24" s="1" t="s">
        <v>112</v>
      </c>
      <c r="B24" s="1" t="s">
        <v>32</v>
      </c>
      <c r="C24" s="1" t="s">
        <v>113</v>
      </c>
      <c r="D24" s="1" t="s">
        <v>12</v>
      </c>
      <c r="E24" s="1" t="s">
        <v>114</v>
      </c>
      <c r="F24" s="1" t="s">
        <v>29</v>
      </c>
      <c r="G24" s="1" t="s">
        <v>15</v>
      </c>
      <c r="H24" s="1" t="s">
        <v>16</v>
      </c>
      <c r="I24" s="1">
        <v>0</v>
      </c>
      <c r="J24" s="12">
        <f t="shared" si="0"/>
        <v>45325</v>
      </c>
      <c r="K24" s="14">
        <f t="shared" si="1"/>
        <v>2</v>
      </c>
      <c r="L24" s="13"/>
      <c r="M24" s="13"/>
    </row>
    <row r="25" spans="1:13" x14ac:dyDescent="0.25">
      <c r="A25" s="1" t="s">
        <v>115</v>
      </c>
      <c r="B25" s="1" t="s">
        <v>116</v>
      </c>
      <c r="C25" s="1" t="s">
        <v>117</v>
      </c>
      <c r="D25" s="1" t="s">
        <v>45</v>
      </c>
      <c r="E25" s="1" t="s">
        <v>118</v>
      </c>
      <c r="F25" s="1" t="s">
        <v>75</v>
      </c>
      <c r="G25" s="1" t="s">
        <v>35</v>
      </c>
      <c r="H25" s="1" t="s">
        <v>16</v>
      </c>
      <c r="I25" s="1">
        <v>4921</v>
      </c>
      <c r="J25" s="12">
        <f t="shared" si="0"/>
        <v>45298</v>
      </c>
      <c r="K25" s="14">
        <f t="shared" si="1"/>
        <v>1</v>
      </c>
      <c r="L25" s="13"/>
      <c r="M25" s="13"/>
    </row>
    <row r="26" spans="1:13" x14ac:dyDescent="0.25">
      <c r="A26" s="1" t="s">
        <v>119</v>
      </c>
      <c r="B26" s="1" t="s">
        <v>120</v>
      </c>
      <c r="C26" s="1" t="s">
        <v>121</v>
      </c>
      <c r="D26" s="1" t="s">
        <v>12</v>
      </c>
      <c r="E26" s="1" t="s">
        <v>122</v>
      </c>
      <c r="F26" s="1" t="s">
        <v>22</v>
      </c>
      <c r="G26" s="1" t="s">
        <v>23</v>
      </c>
      <c r="H26" s="1" t="s">
        <v>41</v>
      </c>
      <c r="I26" s="1">
        <v>0</v>
      </c>
      <c r="J26" s="12">
        <f t="shared" si="0"/>
        <v>45308</v>
      </c>
      <c r="K26" s="14">
        <f t="shared" si="1"/>
        <v>1</v>
      </c>
      <c r="L26" s="13"/>
      <c r="M26" s="13"/>
    </row>
    <row r="27" spans="1:13" x14ac:dyDescent="0.25">
      <c r="A27" s="1" t="s">
        <v>123</v>
      </c>
      <c r="B27" s="1" t="s">
        <v>124</v>
      </c>
      <c r="C27" s="1" t="s">
        <v>125</v>
      </c>
      <c r="D27" s="1" t="s">
        <v>20</v>
      </c>
      <c r="E27" s="1" t="s">
        <v>126</v>
      </c>
      <c r="F27" s="1" t="s">
        <v>40</v>
      </c>
      <c r="G27" s="1" t="s">
        <v>23</v>
      </c>
      <c r="H27" s="1" t="s">
        <v>41</v>
      </c>
      <c r="I27" s="1">
        <v>0</v>
      </c>
      <c r="J27" s="12">
        <f t="shared" si="0"/>
        <v>45323</v>
      </c>
      <c r="K27" s="14">
        <f t="shared" si="1"/>
        <v>2</v>
      </c>
      <c r="L27" s="13"/>
      <c r="M27" s="13"/>
    </row>
    <row r="28" spans="1:13" x14ac:dyDescent="0.25">
      <c r="A28" s="1" t="s">
        <v>127</v>
      </c>
      <c r="B28" s="1" t="s">
        <v>128</v>
      </c>
      <c r="C28" s="1" t="s">
        <v>129</v>
      </c>
      <c r="D28" s="1" t="s">
        <v>20</v>
      </c>
      <c r="E28" s="1" t="s">
        <v>130</v>
      </c>
      <c r="F28" s="1" t="s">
        <v>40</v>
      </c>
      <c r="G28" s="1" t="s">
        <v>23</v>
      </c>
      <c r="H28" s="1" t="s">
        <v>55</v>
      </c>
      <c r="I28" s="1">
        <v>0</v>
      </c>
      <c r="J28" s="12">
        <f t="shared" si="0"/>
        <v>45300</v>
      </c>
      <c r="K28" s="14">
        <f t="shared" si="1"/>
        <v>1</v>
      </c>
      <c r="L28" s="13"/>
      <c r="M28" s="13"/>
    </row>
    <row r="29" spans="1:13" x14ac:dyDescent="0.25">
      <c r="A29" s="1" t="s">
        <v>131</v>
      </c>
      <c r="B29" s="1" t="s">
        <v>132</v>
      </c>
      <c r="C29" s="1" t="s">
        <v>133</v>
      </c>
      <c r="D29" s="1" t="s">
        <v>12</v>
      </c>
      <c r="E29" s="1" t="s">
        <v>134</v>
      </c>
      <c r="F29" s="1" t="s">
        <v>22</v>
      </c>
      <c r="G29" s="1" t="s">
        <v>23</v>
      </c>
      <c r="H29" s="1" t="s">
        <v>24</v>
      </c>
      <c r="I29" s="1">
        <v>0</v>
      </c>
      <c r="J29" s="12">
        <f t="shared" si="0"/>
        <v>45314</v>
      </c>
      <c r="K29" s="14">
        <f t="shared" si="1"/>
        <v>1</v>
      </c>
      <c r="L29" s="13"/>
      <c r="M29" s="13"/>
    </row>
    <row r="30" spans="1:13" x14ac:dyDescent="0.25">
      <c r="A30" s="1" t="s">
        <v>135</v>
      </c>
      <c r="B30" s="1" t="s">
        <v>136</v>
      </c>
      <c r="C30" s="1" t="s">
        <v>137</v>
      </c>
      <c r="D30" s="1" t="s">
        <v>20</v>
      </c>
      <c r="E30" s="1" t="s">
        <v>138</v>
      </c>
      <c r="F30" s="1" t="s">
        <v>40</v>
      </c>
      <c r="G30" s="1" t="s">
        <v>35</v>
      </c>
      <c r="H30" s="1" t="s">
        <v>16</v>
      </c>
      <c r="I30" s="1">
        <v>0</v>
      </c>
      <c r="J30" s="12">
        <f t="shared" si="0"/>
        <v>45315</v>
      </c>
      <c r="K30" s="14">
        <f t="shared" si="1"/>
        <v>1</v>
      </c>
      <c r="L30" s="13"/>
      <c r="M30" s="13"/>
    </row>
    <row r="31" spans="1:13" x14ac:dyDescent="0.25">
      <c r="A31" s="1" t="s">
        <v>139</v>
      </c>
      <c r="B31" s="1" t="s">
        <v>140</v>
      </c>
      <c r="C31" s="1" t="s">
        <v>141</v>
      </c>
      <c r="D31" s="1" t="s">
        <v>45</v>
      </c>
      <c r="E31" s="1" t="s">
        <v>142</v>
      </c>
      <c r="F31" s="1" t="s">
        <v>14</v>
      </c>
      <c r="G31" s="1" t="s">
        <v>35</v>
      </c>
      <c r="H31" s="1" t="s">
        <v>30</v>
      </c>
      <c r="I31" s="1">
        <v>4613</v>
      </c>
      <c r="J31" s="12">
        <f t="shared" si="0"/>
        <v>45299</v>
      </c>
      <c r="K31" s="14">
        <f t="shared" si="1"/>
        <v>1</v>
      </c>
      <c r="L31" s="13"/>
      <c r="M31" s="13"/>
    </row>
    <row r="32" spans="1:13" x14ac:dyDescent="0.25">
      <c r="A32" s="1" t="s">
        <v>143</v>
      </c>
      <c r="B32" s="1" t="s">
        <v>144</v>
      </c>
      <c r="C32" s="1" t="s">
        <v>145</v>
      </c>
      <c r="D32" s="1" t="s">
        <v>45</v>
      </c>
      <c r="E32" s="1" t="s">
        <v>146</v>
      </c>
      <c r="F32" s="1" t="s">
        <v>40</v>
      </c>
      <c r="G32" s="1" t="s">
        <v>35</v>
      </c>
      <c r="H32" s="1" t="s">
        <v>16</v>
      </c>
      <c r="I32" s="1">
        <v>2082</v>
      </c>
      <c r="J32" s="12">
        <f t="shared" si="0"/>
        <v>45300</v>
      </c>
      <c r="K32" s="14">
        <f t="shared" si="1"/>
        <v>1</v>
      </c>
      <c r="L32" s="13"/>
      <c r="M32" s="13"/>
    </row>
    <row r="33" spans="1:13" x14ac:dyDescent="0.25">
      <c r="A33" s="1" t="s">
        <v>147</v>
      </c>
      <c r="B33" s="1" t="s">
        <v>148</v>
      </c>
      <c r="C33" s="1" t="s">
        <v>149</v>
      </c>
      <c r="D33" s="1" t="s">
        <v>12</v>
      </c>
      <c r="E33" s="1" t="s">
        <v>150</v>
      </c>
      <c r="F33" s="1" t="s">
        <v>75</v>
      </c>
      <c r="G33" s="1" t="s">
        <v>15</v>
      </c>
      <c r="H33" s="1" t="s">
        <v>24</v>
      </c>
      <c r="I33" s="1">
        <v>0</v>
      </c>
      <c r="J33" s="12">
        <f t="shared" si="0"/>
        <v>45316</v>
      </c>
      <c r="K33" s="14">
        <f t="shared" si="1"/>
        <v>1</v>
      </c>
      <c r="L33" s="13"/>
      <c r="M33" s="13"/>
    </row>
    <row r="34" spans="1:13" x14ac:dyDescent="0.25">
      <c r="A34" s="1" t="s">
        <v>151</v>
      </c>
      <c r="B34" s="1" t="s">
        <v>152</v>
      </c>
      <c r="C34" s="1" t="s">
        <v>153</v>
      </c>
      <c r="D34" s="1" t="s">
        <v>12</v>
      </c>
      <c r="E34" s="1" t="s">
        <v>154</v>
      </c>
      <c r="F34" s="1" t="s">
        <v>29</v>
      </c>
      <c r="G34" s="1" t="s">
        <v>15</v>
      </c>
      <c r="H34" s="1" t="s">
        <v>24</v>
      </c>
      <c r="I34" s="1">
        <v>0</v>
      </c>
      <c r="J34" s="12">
        <f t="shared" si="0"/>
        <v>45309</v>
      </c>
      <c r="K34" s="14">
        <f t="shared" si="1"/>
        <v>1</v>
      </c>
      <c r="L34" s="13"/>
      <c r="M34" s="13"/>
    </row>
    <row r="35" spans="1:13" x14ac:dyDescent="0.25">
      <c r="A35" s="1" t="s">
        <v>155</v>
      </c>
      <c r="B35" s="1" t="s">
        <v>156</v>
      </c>
      <c r="C35" s="1" t="s">
        <v>157</v>
      </c>
      <c r="D35" s="1" t="s">
        <v>12</v>
      </c>
      <c r="E35" s="1" t="s">
        <v>158</v>
      </c>
      <c r="F35" s="1" t="s">
        <v>14</v>
      </c>
      <c r="G35" s="1" t="s">
        <v>23</v>
      </c>
      <c r="H35" s="1" t="s">
        <v>55</v>
      </c>
      <c r="I35" s="1">
        <v>0</v>
      </c>
      <c r="J35" s="12">
        <f t="shared" si="0"/>
        <v>45312</v>
      </c>
      <c r="K35" s="14">
        <f t="shared" si="1"/>
        <v>1</v>
      </c>
      <c r="L35" s="13"/>
      <c r="M35" s="13"/>
    </row>
    <row r="36" spans="1:13" x14ac:dyDescent="0.25">
      <c r="A36" s="1" t="s">
        <v>159</v>
      </c>
      <c r="B36" s="1" t="s">
        <v>160</v>
      </c>
      <c r="C36" s="1" t="s">
        <v>161</v>
      </c>
      <c r="D36" s="1" t="s">
        <v>20</v>
      </c>
      <c r="E36" s="1" t="s">
        <v>162</v>
      </c>
      <c r="F36" s="1" t="s">
        <v>14</v>
      </c>
      <c r="G36" s="1" t="s">
        <v>35</v>
      </c>
      <c r="H36" s="1" t="s">
        <v>30</v>
      </c>
      <c r="I36" s="1">
        <v>0</v>
      </c>
      <c r="J36" s="12">
        <f t="shared" si="0"/>
        <v>45325</v>
      </c>
      <c r="K36" s="14">
        <f t="shared" si="1"/>
        <v>2</v>
      </c>
      <c r="L36" s="13"/>
      <c r="M36" s="13"/>
    </row>
    <row r="37" spans="1:13" x14ac:dyDescent="0.25">
      <c r="A37" s="1" t="s">
        <v>163</v>
      </c>
      <c r="B37" s="1" t="s">
        <v>164</v>
      </c>
      <c r="C37" s="1" t="s">
        <v>165</v>
      </c>
      <c r="D37" s="1" t="s">
        <v>20</v>
      </c>
      <c r="E37" s="1" t="s">
        <v>166</v>
      </c>
      <c r="F37" s="1" t="s">
        <v>22</v>
      </c>
      <c r="G37" s="1" t="s">
        <v>15</v>
      </c>
      <c r="H37" s="1" t="s">
        <v>41</v>
      </c>
      <c r="I37" s="1">
        <v>0</v>
      </c>
      <c r="J37" s="12">
        <f t="shared" si="0"/>
        <v>45297</v>
      </c>
      <c r="K37" s="14">
        <f t="shared" si="1"/>
        <v>1</v>
      </c>
      <c r="L37" s="13"/>
      <c r="M37" s="13"/>
    </row>
    <row r="38" spans="1:13" x14ac:dyDescent="0.25">
      <c r="A38" s="1" t="s">
        <v>167</v>
      </c>
      <c r="B38" s="1" t="s">
        <v>168</v>
      </c>
      <c r="C38" s="1" t="s">
        <v>169</v>
      </c>
      <c r="D38" s="1" t="s">
        <v>20</v>
      </c>
      <c r="E38" s="1" t="s">
        <v>170</v>
      </c>
      <c r="F38" s="1" t="s">
        <v>29</v>
      </c>
      <c r="G38" s="1" t="s">
        <v>35</v>
      </c>
      <c r="H38" s="1" t="s">
        <v>24</v>
      </c>
      <c r="I38" s="1">
        <v>0</v>
      </c>
      <c r="J38" s="12">
        <f t="shared" si="0"/>
        <v>45313</v>
      </c>
      <c r="K38" s="14">
        <f t="shared" si="1"/>
        <v>1</v>
      </c>
      <c r="L38" s="13"/>
      <c r="M38" s="13"/>
    </row>
    <row r="39" spans="1:13" x14ac:dyDescent="0.25">
      <c r="A39" s="1" t="s">
        <v>171</v>
      </c>
      <c r="B39" s="1" t="s">
        <v>172</v>
      </c>
      <c r="C39" s="1" t="s">
        <v>173</v>
      </c>
      <c r="D39" s="1" t="s">
        <v>12</v>
      </c>
      <c r="E39" s="1" t="s">
        <v>174</v>
      </c>
      <c r="F39" s="1" t="s">
        <v>75</v>
      </c>
      <c r="G39" s="1" t="s">
        <v>23</v>
      </c>
      <c r="H39" s="1" t="s">
        <v>55</v>
      </c>
      <c r="I39" s="1">
        <v>0</v>
      </c>
      <c r="J39" s="12">
        <f t="shared" si="0"/>
        <v>45312</v>
      </c>
      <c r="K39" s="14">
        <f t="shared" si="1"/>
        <v>1</v>
      </c>
      <c r="L39" s="13"/>
      <c r="M39" s="13"/>
    </row>
    <row r="40" spans="1:13" x14ac:dyDescent="0.25">
      <c r="A40" s="1" t="s">
        <v>175</v>
      </c>
      <c r="B40" s="1" t="s">
        <v>176</v>
      </c>
      <c r="C40" s="1" t="s">
        <v>177</v>
      </c>
      <c r="D40" s="1" t="s">
        <v>20</v>
      </c>
      <c r="E40" s="1" t="s">
        <v>178</v>
      </c>
      <c r="F40" s="1" t="s">
        <v>75</v>
      </c>
      <c r="G40" s="1" t="s">
        <v>15</v>
      </c>
      <c r="H40" s="1" t="s">
        <v>41</v>
      </c>
      <c r="I40" s="1">
        <v>0</v>
      </c>
      <c r="J40" s="12">
        <f t="shared" si="0"/>
        <v>45325</v>
      </c>
      <c r="K40" s="14">
        <f t="shared" si="1"/>
        <v>2</v>
      </c>
      <c r="L40" s="13"/>
      <c r="M40" s="13"/>
    </row>
    <row r="41" spans="1:13" x14ac:dyDescent="0.25">
      <c r="A41" s="1" t="s">
        <v>179</v>
      </c>
      <c r="B41" s="1" t="s">
        <v>180</v>
      </c>
      <c r="C41" s="1" t="s">
        <v>181</v>
      </c>
      <c r="D41" s="1" t="s">
        <v>20</v>
      </c>
      <c r="E41" s="1" t="s">
        <v>150</v>
      </c>
      <c r="F41" s="1" t="s">
        <v>40</v>
      </c>
      <c r="G41" s="1" t="s">
        <v>23</v>
      </c>
      <c r="H41" s="1" t="s">
        <v>30</v>
      </c>
      <c r="I41" s="1">
        <v>0</v>
      </c>
      <c r="J41" s="12">
        <f t="shared" si="0"/>
        <v>45323</v>
      </c>
      <c r="K41" s="14">
        <f t="shared" si="1"/>
        <v>2</v>
      </c>
      <c r="L41" s="13"/>
      <c r="M41" s="13"/>
    </row>
    <row r="42" spans="1:13" x14ac:dyDescent="0.25">
      <c r="A42" s="1" t="s">
        <v>182</v>
      </c>
      <c r="B42" s="1" t="s">
        <v>183</v>
      </c>
      <c r="C42" s="1" t="s">
        <v>184</v>
      </c>
      <c r="D42" s="1" t="s">
        <v>12</v>
      </c>
      <c r="E42" s="1" t="s">
        <v>185</v>
      </c>
      <c r="F42" s="1" t="s">
        <v>75</v>
      </c>
      <c r="G42" s="1" t="s">
        <v>23</v>
      </c>
      <c r="H42" s="1" t="s">
        <v>24</v>
      </c>
      <c r="I42" s="1">
        <v>0</v>
      </c>
      <c r="J42" s="12">
        <f t="shared" si="0"/>
        <v>45294</v>
      </c>
      <c r="K42" s="14">
        <f t="shared" si="1"/>
        <v>1</v>
      </c>
      <c r="L42" s="13"/>
      <c r="M42" s="13"/>
    </row>
    <row r="43" spans="1:13" x14ac:dyDescent="0.25">
      <c r="A43" s="1" t="s">
        <v>186</v>
      </c>
      <c r="B43" s="1" t="s">
        <v>187</v>
      </c>
      <c r="C43" s="1" t="s">
        <v>188</v>
      </c>
      <c r="D43" s="1" t="s">
        <v>20</v>
      </c>
      <c r="E43" s="1" t="s">
        <v>189</v>
      </c>
      <c r="F43" s="1" t="s">
        <v>29</v>
      </c>
      <c r="G43" s="1" t="s">
        <v>35</v>
      </c>
      <c r="H43" s="1" t="s">
        <v>24</v>
      </c>
      <c r="I43" s="1">
        <v>0</v>
      </c>
      <c r="J43" s="12">
        <f t="shared" si="0"/>
        <v>45303</v>
      </c>
      <c r="K43" s="14">
        <f t="shared" si="1"/>
        <v>1</v>
      </c>
      <c r="L43" s="13"/>
      <c r="M43" s="13"/>
    </row>
    <row r="44" spans="1:13" x14ac:dyDescent="0.25">
      <c r="A44" s="1" t="s">
        <v>190</v>
      </c>
      <c r="B44" s="1" t="s">
        <v>191</v>
      </c>
      <c r="C44" s="1" t="s">
        <v>192</v>
      </c>
      <c r="D44" s="1" t="s">
        <v>45</v>
      </c>
      <c r="E44" s="1" t="s">
        <v>193</v>
      </c>
      <c r="F44" s="1" t="s">
        <v>40</v>
      </c>
      <c r="G44" s="1" t="s">
        <v>35</v>
      </c>
      <c r="H44" s="1" t="s">
        <v>24</v>
      </c>
      <c r="I44" s="1">
        <v>4557</v>
      </c>
      <c r="J44" s="12">
        <f t="shared" si="0"/>
        <v>45317</v>
      </c>
      <c r="K44" s="14">
        <f t="shared" si="1"/>
        <v>1</v>
      </c>
      <c r="L44" s="13"/>
      <c r="M44" s="13"/>
    </row>
    <row r="45" spans="1:13" x14ac:dyDescent="0.25">
      <c r="A45" s="1" t="s">
        <v>194</v>
      </c>
      <c r="B45" s="1" t="s">
        <v>195</v>
      </c>
      <c r="C45" s="1" t="s">
        <v>196</v>
      </c>
      <c r="D45" s="1" t="s">
        <v>12</v>
      </c>
      <c r="E45" s="1" t="s">
        <v>197</v>
      </c>
      <c r="F45" s="1" t="s">
        <v>40</v>
      </c>
      <c r="G45" s="1" t="s">
        <v>35</v>
      </c>
      <c r="H45" s="1" t="s">
        <v>55</v>
      </c>
      <c r="I45" s="1">
        <v>0</v>
      </c>
      <c r="J45" s="12">
        <f t="shared" si="0"/>
        <v>45313</v>
      </c>
      <c r="K45" s="14">
        <f t="shared" si="1"/>
        <v>1</v>
      </c>
      <c r="L45" s="13"/>
      <c r="M45" s="13"/>
    </row>
    <row r="46" spans="1:13" x14ac:dyDescent="0.25">
      <c r="A46" s="1" t="s">
        <v>198</v>
      </c>
      <c r="B46" s="1" t="s">
        <v>199</v>
      </c>
      <c r="C46" s="1" t="s">
        <v>200</v>
      </c>
      <c r="D46" s="1" t="s">
        <v>12</v>
      </c>
      <c r="E46" s="1" t="s">
        <v>201</v>
      </c>
      <c r="F46" s="1" t="s">
        <v>40</v>
      </c>
      <c r="G46" s="1" t="s">
        <v>35</v>
      </c>
      <c r="H46" s="1" t="s">
        <v>30</v>
      </c>
      <c r="I46" s="1">
        <v>0</v>
      </c>
      <c r="J46" s="12">
        <f t="shared" si="0"/>
        <v>45296</v>
      </c>
      <c r="K46" s="14">
        <f t="shared" si="1"/>
        <v>1</v>
      </c>
      <c r="L46" s="13"/>
      <c r="M46" s="13"/>
    </row>
    <row r="47" spans="1:13" x14ac:dyDescent="0.25">
      <c r="A47" s="1" t="s">
        <v>202</v>
      </c>
      <c r="B47" s="1" t="s">
        <v>203</v>
      </c>
      <c r="C47" s="1" t="s">
        <v>204</v>
      </c>
      <c r="D47" s="1" t="s">
        <v>12</v>
      </c>
      <c r="E47" s="1" t="s">
        <v>205</v>
      </c>
      <c r="F47" s="1" t="s">
        <v>22</v>
      </c>
      <c r="G47" s="1" t="s">
        <v>35</v>
      </c>
      <c r="H47" s="1" t="s">
        <v>30</v>
      </c>
      <c r="I47" s="1">
        <v>0</v>
      </c>
      <c r="J47" s="12">
        <f t="shared" si="0"/>
        <v>45313</v>
      </c>
      <c r="K47" s="14">
        <f t="shared" si="1"/>
        <v>1</v>
      </c>
      <c r="L47" s="13"/>
      <c r="M47" s="13"/>
    </row>
    <row r="48" spans="1:13" x14ac:dyDescent="0.25">
      <c r="A48" s="1" t="s">
        <v>206</v>
      </c>
      <c r="B48" s="1" t="s">
        <v>207</v>
      </c>
      <c r="C48" s="1" t="s">
        <v>208</v>
      </c>
      <c r="D48" s="1" t="s">
        <v>20</v>
      </c>
      <c r="E48" s="1" t="s">
        <v>209</v>
      </c>
      <c r="F48" s="1" t="s">
        <v>40</v>
      </c>
      <c r="G48" s="1" t="s">
        <v>35</v>
      </c>
      <c r="H48" s="1" t="s">
        <v>16</v>
      </c>
      <c r="I48" s="1">
        <v>0</v>
      </c>
      <c r="J48" s="12">
        <f t="shared" si="0"/>
        <v>45303</v>
      </c>
      <c r="K48" s="14">
        <f t="shared" si="1"/>
        <v>1</v>
      </c>
      <c r="L48" s="13"/>
      <c r="M48" s="13"/>
    </row>
    <row r="49" spans="1:13" x14ac:dyDescent="0.25">
      <c r="A49" s="1" t="s">
        <v>210</v>
      </c>
      <c r="B49" s="1" t="s">
        <v>211</v>
      </c>
      <c r="C49" s="1" t="s">
        <v>212</v>
      </c>
      <c r="D49" s="1" t="s">
        <v>20</v>
      </c>
      <c r="E49" s="1" t="s">
        <v>213</v>
      </c>
      <c r="F49" s="1" t="s">
        <v>14</v>
      </c>
      <c r="G49" s="1" t="s">
        <v>23</v>
      </c>
      <c r="H49" s="1" t="s">
        <v>24</v>
      </c>
      <c r="I49" s="1">
        <v>0</v>
      </c>
      <c r="J49" s="12">
        <f t="shared" si="0"/>
        <v>45321</v>
      </c>
      <c r="K49" s="14">
        <f t="shared" si="1"/>
        <v>1</v>
      </c>
      <c r="L49" s="13"/>
      <c r="M49" s="13"/>
    </row>
    <row r="50" spans="1:13" x14ac:dyDescent="0.25">
      <c r="A50" s="1" t="s">
        <v>214</v>
      </c>
      <c r="B50" s="1" t="s">
        <v>215</v>
      </c>
      <c r="C50" s="1" t="s">
        <v>216</v>
      </c>
      <c r="D50" s="1" t="s">
        <v>20</v>
      </c>
      <c r="E50" s="1" t="s">
        <v>217</v>
      </c>
      <c r="F50" s="1" t="s">
        <v>29</v>
      </c>
      <c r="G50" s="1" t="s">
        <v>35</v>
      </c>
      <c r="H50" s="1" t="s">
        <v>16</v>
      </c>
      <c r="I50" s="1">
        <v>0</v>
      </c>
      <c r="J50" s="12">
        <f t="shared" si="0"/>
        <v>45302</v>
      </c>
      <c r="K50" s="14">
        <f t="shared" si="1"/>
        <v>1</v>
      </c>
      <c r="L50" s="13"/>
      <c r="M50" s="13"/>
    </row>
    <row r="51" spans="1:13" x14ac:dyDescent="0.25">
      <c r="A51" s="1" t="s">
        <v>218</v>
      </c>
      <c r="B51" s="1" t="s">
        <v>219</v>
      </c>
      <c r="C51" s="1" t="s">
        <v>220</v>
      </c>
      <c r="D51" s="1" t="s">
        <v>12</v>
      </c>
      <c r="E51" s="1" t="s">
        <v>221</v>
      </c>
      <c r="F51" s="1" t="s">
        <v>22</v>
      </c>
      <c r="G51" s="1" t="s">
        <v>35</v>
      </c>
      <c r="H51" s="1" t="s">
        <v>41</v>
      </c>
      <c r="I51" s="1">
        <v>0</v>
      </c>
      <c r="J51" s="12">
        <f t="shared" si="0"/>
        <v>45296</v>
      </c>
      <c r="K51" s="14">
        <f t="shared" si="1"/>
        <v>1</v>
      </c>
      <c r="L51" s="13"/>
      <c r="M51" s="13"/>
    </row>
    <row r="52" spans="1:13" x14ac:dyDescent="0.25">
      <c r="A52" s="1" t="s">
        <v>222</v>
      </c>
      <c r="B52" s="1" t="s">
        <v>223</v>
      </c>
      <c r="C52" s="1" t="s">
        <v>224</v>
      </c>
      <c r="D52" s="1" t="s">
        <v>45</v>
      </c>
      <c r="E52" s="1" t="s">
        <v>225</v>
      </c>
      <c r="F52" s="1" t="s">
        <v>29</v>
      </c>
      <c r="G52" s="1" t="s">
        <v>15</v>
      </c>
      <c r="H52" s="1" t="s">
        <v>30</v>
      </c>
      <c r="I52" s="1">
        <v>986</v>
      </c>
      <c r="J52" s="12">
        <f t="shared" si="0"/>
        <v>45316</v>
      </c>
      <c r="K52" s="14">
        <f t="shared" si="1"/>
        <v>1</v>
      </c>
      <c r="L52" s="13"/>
      <c r="M52" s="13"/>
    </row>
    <row r="53" spans="1:13" x14ac:dyDescent="0.25">
      <c r="A53" s="1" t="s">
        <v>163</v>
      </c>
      <c r="B53" s="1" t="s">
        <v>226</v>
      </c>
      <c r="C53" s="1" t="s">
        <v>227</v>
      </c>
      <c r="D53" s="1" t="s">
        <v>45</v>
      </c>
      <c r="E53" s="1" t="s">
        <v>228</v>
      </c>
      <c r="F53" s="1" t="s">
        <v>14</v>
      </c>
      <c r="G53" s="1" t="s">
        <v>15</v>
      </c>
      <c r="H53" s="1" t="s">
        <v>16</v>
      </c>
      <c r="I53" s="1">
        <v>4799</v>
      </c>
      <c r="J53" s="12">
        <f t="shared" si="0"/>
        <v>45308</v>
      </c>
      <c r="K53" s="14">
        <f t="shared" si="1"/>
        <v>1</v>
      </c>
      <c r="L53" s="13"/>
      <c r="M53" s="13"/>
    </row>
    <row r="54" spans="1:13" x14ac:dyDescent="0.25">
      <c r="A54" s="1" t="s">
        <v>218</v>
      </c>
      <c r="B54" s="1" t="s">
        <v>229</v>
      </c>
      <c r="C54" s="1" t="s">
        <v>230</v>
      </c>
      <c r="D54" s="1" t="s">
        <v>45</v>
      </c>
      <c r="E54" s="1" t="s">
        <v>231</v>
      </c>
      <c r="F54" s="1" t="s">
        <v>29</v>
      </c>
      <c r="G54" s="1" t="s">
        <v>23</v>
      </c>
      <c r="H54" s="1" t="s">
        <v>16</v>
      </c>
      <c r="I54" s="1">
        <v>3598</v>
      </c>
      <c r="J54" s="12">
        <f t="shared" si="0"/>
        <v>45294</v>
      </c>
      <c r="K54" s="14">
        <f t="shared" si="1"/>
        <v>1</v>
      </c>
      <c r="L54" s="13"/>
      <c r="M54" s="13"/>
    </row>
    <row r="55" spans="1:13" x14ac:dyDescent="0.25">
      <c r="A55" s="1" t="s">
        <v>232</v>
      </c>
      <c r="B55" s="1" t="s">
        <v>233</v>
      </c>
      <c r="C55" s="1" t="s">
        <v>234</v>
      </c>
      <c r="D55" s="1" t="s">
        <v>12</v>
      </c>
      <c r="E55" s="1" t="s">
        <v>235</v>
      </c>
      <c r="F55" s="1" t="s">
        <v>75</v>
      </c>
      <c r="G55" s="1" t="s">
        <v>23</v>
      </c>
      <c r="H55" s="1" t="s">
        <v>16</v>
      </c>
      <c r="I55" s="1">
        <v>0</v>
      </c>
      <c r="J55" s="12">
        <f t="shared" si="0"/>
        <v>45304</v>
      </c>
      <c r="K55" s="14">
        <f t="shared" si="1"/>
        <v>1</v>
      </c>
      <c r="L55" s="13"/>
      <c r="M55" s="13"/>
    </row>
    <row r="56" spans="1:13" x14ac:dyDescent="0.25">
      <c r="A56" s="1" t="s">
        <v>236</v>
      </c>
      <c r="B56" s="1" t="s">
        <v>237</v>
      </c>
      <c r="C56" s="1" t="s">
        <v>238</v>
      </c>
      <c r="D56" s="1" t="s">
        <v>45</v>
      </c>
      <c r="E56" s="1" t="s">
        <v>239</v>
      </c>
      <c r="F56" s="1" t="s">
        <v>40</v>
      </c>
      <c r="G56" s="1" t="s">
        <v>23</v>
      </c>
      <c r="H56" s="1" t="s">
        <v>55</v>
      </c>
      <c r="I56" s="1">
        <v>4312</v>
      </c>
      <c r="J56" s="12">
        <f t="shared" si="0"/>
        <v>45307</v>
      </c>
      <c r="K56" s="14">
        <f t="shared" si="1"/>
        <v>1</v>
      </c>
      <c r="L56" s="13"/>
      <c r="M56" s="13"/>
    </row>
    <row r="57" spans="1:13" x14ac:dyDescent="0.25">
      <c r="A57" s="1" t="s">
        <v>240</v>
      </c>
      <c r="B57" s="1" t="s">
        <v>241</v>
      </c>
      <c r="C57" s="1" t="s">
        <v>242</v>
      </c>
      <c r="D57" s="1" t="s">
        <v>20</v>
      </c>
      <c r="E57" s="1" t="s">
        <v>243</v>
      </c>
      <c r="F57" s="1" t="s">
        <v>75</v>
      </c>
      <c r="G57" s="1" t="s">
        <v>15</v>
      </c>
      <c r="H57" s="1" t="s">
        <v>55</v>
      </c>
      <c r="I57" s="1">
        <v>0</v>
      </c>
      <c r="J57" s="12">
        <f t="shared" si="0"/>
        <v>45310</v>
      </c>
      <c r="K57" s="14">
        <f t="shared" si="1"/>
        <v>1</v>
      </c>
      <c r="L57" s="13"/>
      <c r="M57" s="13"/>
    </row>
    <row r="58" spans="1:13" x14ac:dyDescent="0.25">
      <c r="A58" s="1" t="s">
        <v>244</v>
      </c>
      <c r="B58" s="1" t="s">
        <v>245</v>
      </c>
      <c r="C58" s="1" t="s">
        <v>246</v>
      </c>
      <c r="D58" s="1" t="s">
        <v>12</v>
      </c>
      <c r="E58" s="1" t="s">
        <v>247</v>
      </c>
      <c r="F58" s="1" t="s">
        <v>22</v>
      </c>
      <c r="G58" s="1" t="s">
        <v>15</v>
      </c>
      <c r="H58" s="1" t="s">
        <v>16</v>
      </c>
      <c r="I58" s="1">
        <v>0</v>
      </c>
      <c r="J58" s="12">
        <f t="shared" si="0"/>
        <v>45316</v>
      </c>
      <c r="K58" s="14">
        <f t="shared" si="1"/>
        <v>1</v>
      </c>
      <c r="L58" s="13"/>
      <c r="M58" s="13"/>
    </row>
    <row r="59" spans="1:13" x14ac:dyDescent="0.25">
      <c r="A59" s="1" t="s">
        <v>248</v>
      </c>
      <c r="B59" s="1" t="s">
        <v>249</v>
      </c>
      <c r="C59" s="1" t="s">
        <v>250</v>
      </c>
      <c r="D59" s="1" t="s">
        <v>45</v>
      </c>
      <c r="E59" s="1" t="s">
        <v>251</v>
      </c>
      <c r="F59" s="1" t="s">
        <v>29</v>
      </c>
      <c r="G59" s="1" t="s">
        <v>15</v>
      </c>
      <c r="H59" s="1" t="s">
        <v>55</v>
      </c>
      <c r="I59" s="1">
        <v>2830</v>
      </c>
      <c r="J59" s="12">
        <f t="shared" si="0"/>
        <v>45297</v>
      </c>
      <c r="K59" s="14">
        <f t="shared" si="1"/>
        <v>1</v>
      </c>
      <c r="L59" s="13"/>
      <c r="M59" s="13"/>
    </row>
    <row r="60" spans="1:13" x14ac:dyDescent="0.25">
      <c r="A60" s="1" t="s">
        <v>252</v>
      </c>
      <c r="B60" s="1" t="s">
        <v>253</v>
      </c>
      <c r="C60" s="1" t="s">
        <v>254</v>
      </c>
      <c r="D60" s="1" t="s">
        <v>12</v>
      </c>
      <c r="E60" s="1" t="s">
        <v>255</v>
      </c>
      <c r="F60" s="1" t="s">
        <v>75</v>
      </c>
      <c r="G60" s="1" t="s">
        <v>15</v>
      </c>
      <c r="H60" s="1" t="s">
        <v>30</v>
      </c>
      <c r="I60" s="1">
        <v>0</v>
      </c>
      <c r="J60" s="12">
        <f t="shared" si="0"/>
        <v>45314</v>
      </c>
      <c r="K60" s="14">
        <f t="shared" si="1"/>
        <v>1</v>
      </c>
      <c r="L60" s="13"/>
      <c r="M60" s="13"/>
    </row>
    <row r="61" spans="1:13" x14ac:dyDescent="0.25">
      <c r="A61" s="1" t="s">
        <v>256</v>
      </c>
      <c r="B61" s="1" t="s">
        <v>257</v>
      </c>
      <c r="C61" s="1" t="s">
        <v>258</v>
      </c>
      <c r="D61" s="1" t="s">
        <v>20</v>
      </c>
      <c r="E61" s="1" t="s">
        <v>259</v>
      </c>
      <c r="F61" s="1" t="s">
        <v>40</v>
      </c>
      <c r="G61" s="1" t="s">
        <v>35</v>
      </c>
      <c r="H61" s="1" t="s">
        <v>30</v>
      </c>
      <c r="I61" s="1">
        <v>0</v>
      </c>
      <c r="J61" s="12">
        <f t="shared" si="0"/>
        <v>45294</v>
      </c>
      <c r="K61" s="14">
        <f t="shared" si="1"/>
        <v>1</v>
      </c>
      <c r="L61" s="13"/>
      <c r="M61" s="13"/>
    </row>
    <row r="62" spans="1:13" x14ac:dyDescent="0.25">
      <c r="A62" s="1" t="s">
        <v>260</v>
      </c>
      <c r="B62" s="1" t="s">
        <v>261</v>
      </c>
      <c r="C62" s="1" t="s">
        <v>262</v>
      </c>
      <c r="D62" s="1" t="s">
        <v>12</v>
      </c>
      <c r="E62" s="1" t="s">
        <v>263</v>
      </c>
      <c r="F62" s="1" t="s">
        <v>40</v>
      </c>
      <c r="G62" s="1" t="s">
        <v>35</v>
      </c>
      <c r="H62" s="1" t="s">
        <v>30</v>
      </c>
      <c r="I62" s="1">
        <v>0</v>
      </c>
      <c r="J62" s="12">
        <f t="shared" si="0"/>
        <v>45322</v>
      </c>
      <c r="K62" s="14">
        <f t="shared" si="1"/>
        <v>1</v>
      </c>
      <c r="L62" s="13"/>
      <c r="M62" s="13"/>
    </row>
    <row r="63" spans="1:13" x14ac:dyDescent="0.25">
      <c r="A63" s="1" t="s">
        <v>84</v>
      </c>
      <c r="B63" s="1" t="s">
        <v>264</v>
      </c>
      <c r="C63" s="1" t="s">
        <v>265</v>
      </c>
      <c r="D63" s="1" t="s">
        <v>20</v>
      </c>
      <c r="E63" s="1" t="s">
        <v>266</v>
      </c>
      <c r="F63" s="1" t="s">
        <v>40</v>
      </c>
      <c r="G63" s="1" t="s">
        <v>15</v>
      </c>
      <c r="H63" s="1" t="s">
        <v>16</v>
      </c>
      <c r="I63" s="1">
        <v>0</v>
      </c>
      <c r="J63" s="12">
        <f t="shared" si="0"/>
        <v>45321</v>
      </c>
      <c r="K63" s="14">
        <f t="shared" si="1"/>
        <v>1</v>
      </c>
      <c r="L63" s="13"/>
      <c r="M63" s="13"/>
    </row>
    <row r="64" spans="1:13" x14ac:dyDescent="0.25">
      <c r="A64" s="1" t="s">
        <v>267</v>
      </c>
      <c r="B64" s="1" t="s">
        <v>268</v>
      </c>
      <c r="C64" s="1" t="s">
        <v>269</v>
      </c>
      <c r="D64" s="1" t="s">
        <v>12</v>
      </c>
      <c r="E64" s="1" t="s">
        <v>270</v>
      </c>
      <c r="F64" s="1" t="s">
        <v>22</v>
      </c>
      <c r="G64" s="1" t="s">
        <v>15</v>
      </c>
      <c r="H64" s="1" t="s">
        <v>16</v>
      </c>
      <c r="I64" s="1">
        <v>0</v>
      </c>
      <c r="J64" s="12">
        <f t="shared" si="0"/>
        <v>45292</v>
      </c>
      <c r="K64" s="14">
        <f t="shared" si="1"/>
        <v>1</v>
      </c>
      <c r="L64" s="13"/>
      <c r="M64" s="13"/>
    </row>
    <row r="65" spans="1:13" x14ac:dyDescent="0.25">
      <c r="A65" s="1" t="s">
        <v>143</v>
      </c>
      <c r="B65" s="1" t="s">
        <v>271</v>
      </c>
      <c r="C65" s="1" t="s">
        <v>272</v>
      </c>
      <c r="D65" s="1" t="s">
        <v>20</v>
      </c>
      <c r="E65" s="1" t="s">
        <v>273</v>
      </c>
      <c r="F65" s="1" t="s">
        <v>22</v>
      </c>
      <c r="G65" s="1" t="s">
        <v>35</v>
      </c>
      <c r="H65" s="1" t="s">
        <v>55</v>
      </c>
      <c r="I65" s="1">
        <v>0</v>
      </c>
      <c r="J65" s="12">
        <f t="shared" si="0"/>
        <v>45302</v>
      </c>
      <c r="K65" s="14">
        <f t="shared" si="1"/>
        <v>1</v>
      </c>
      <c r="L65" s="13"/>
      <c r="M65" s="13"/>
    </row>
    <row r="66" spans="1:13" x14ac:dyDescent="0.25">
      <c r="A66" s="1" t="s">
        <v>274</v>
      </c>
      <c r="B66" s="1" t="s">
        <v>275</v>
      </c>
      <c r="C66" s="1" t="s">
        <v>276</v>
      </c>
      <c r="D66" s="1" t="s">
        <v>45</v>
      </c>
      <c r="E66" s="1" t="s">
        <v>277</v>
      </c>
      <c r="F66" s="1" t="s">
        <v>75</v>
      </c>
      <c r="G66" s="1" t="s">
        <v>15</v>
      </c>
      <c r="H66" s="1" t="s">
        <v>24</v>
      </c>
      <c r="I66" s="1">
        <v>945</v>
      </c>
      <c r="J66" s="12">
        <f t="shared" si="0"/>
        <v>45297</v>
      </c>
      <c r="K66" s="14">
        <f t="shared" si="1"/>
        <v>1</v>
      </c>
      <c r="L66" s="13"/>
      <c r="M66" s="13"/>
    </row>
    <row r="67" spans="1:13" x14ac:dyDescent="0.25">
      <c r="A67" s="1" t="s">
        <v>278</v>
      </c>
      <c r="B67" s="1" t="s">
        <v>199</v>
      </c>
      <c r="C67" s="1" t="s">
        <v>279</v>
      </c>
      <c r="D67" s="1" t="s">
        <v>12</v>
      </c>
      <c r="E67" s="1" t="s">
        <v>280</v>
      </c>
      <c r="F67" s="1" t="s">
        <v>22</v>
      </c>
      <c r="G67" s="1" t="s">
        <v>15</v>
      </c>
      <c r="H67" s="1" t="s">
        <v>55</v>
      </c>
      <c r="I67" s="1">
        <v>0</v>
      </c>
      <c r="J67" s="12">
        <f t="shared" si="0"/>
        <v>45321</v>
      </c>
      <c r="K67" s="14">
        <f t="shared" si="1"/>
        <v>1</v>
      </c>
      <c r="L67" s="13"/>
      <c r="M67" s="13"/>
    </row>
    <row r="68" spans="1:13" x14ac:dyDescent="0.25">
      <c r="A68" s="1" t="s">
        <v>281</v>
      </c>
      <c r="B68" s="1" t="s">
        <v>282</v>
      </c>
      <c r="C68" s="1" t="s">
        <v>283</v>
      </c>
      <c r="D68" s="1" t="s">
        <v>12</v>
      </c>
      <c r="E68" s="1" t="s">
        <v>284</v>
      </c>
      <c r="F68" s="1" t="s">
        <v>22</v>
      </c>
      <c r="G68" s="1" t="s">
        <v>35</v>
      </c>
      <c r="H68" s="1" t="s">
        <v>16</v>
      </c>
      <c r="I68" s="1">
        <v>0</v>
      </c>
      <c r="J68" s="12">
        <f t="shared" ref="J68:J131" si="2">INT(C68)</f>
        <v>45319</v>
      </c>
      <c r="K68" s="14">
        <f t="shared" ref="K68:K131" si="3">MONTH(C68)</f>
        <v>1</v>
      </c>
      <c r="L68" s="13"/>
      <c r="M68" s="13"/>
    </row>
    <row r="69" spans="1:13" x14ac:dyDescent="0.25">
      <c r="A69" s="1" t="s">
        <v>285</v>
      </c>
      <c r="B69" s="1" t="s">
        <v>286</v>
      </c>
      <c r="C69" s="1" t="s">
        <v>287</v>
      </c>
      <c r="D69" s="1" t="s">
        <v>12</v>
      </c>
      <c r="E69" s="1" t="s">
        <v>243</v>
      </c>
      <c r="F69" s="1" t="s">
        <v>75</v>
      </c>
      <c r="G69" s="1" t="s">
        <v>15</v>
      </c>
      <c r="H69" s="1" t="s">
        <v>41</v>
      </c>
      <c r="I69" s="1">
        <v>0</v>
      </c>
      <c r="J69" s="12">
        <f t="shared" si="2"/>
        <v>45301</v>
      </c>
      <c r="K69" s="14">
        <f t="shared" si="3"/>
        <v>1</v>
      </c>
      <c r="L69" s="13"/>
      <c r="M69" s="13"/>
    </row>
    <row r="70" spans="1:13" x14ac:dyDescent="0.25">
      <c r="A70" s="1" t="s">
        <v>288</v>
      </c>
      <c r="B70" s="1" t="s">
        <v>289</v>
      </c>
      <c r="C70" s="1" t="s">
        <v>290</v>
      </c>
      <c r="D70" s="1" t="s">
        <v>45</v>
      </c>
      <c r="E70" s="1" t="s">
        <v>28</v>
      </c>
      <c r="F70" s="1" t="s">
        <v>29</v>
      </c>
      <c r="G70" s="1" t="s">
        <v>23</v>
      </c>
      <c r="H70" s="1" t="s">
        <v>41</v>
      </c>
      <c r="I70" s="1">
        <v>1982</v>
      </c>
      <c r="J70" s="12">
        <f t="shared" si="2"/>
        <v>45306</v>
      </c>
      <c r="K70" s="14">
        <f t="shared" si="3"/>
        <v>1</v>
      </c>
      <c r="L70" s="13"/>
      <c r="M70" s="13"/>
    </row>
    <row r="71" spans="1:13" x14ac:dyDescent="0.25">
      <c r="A71" s="1" t="s">
        <v>291</v>
      </c>
      <c r="B71" s="1" t="s">
        <v>292</v>
      </c>
      <c r="C71" s="1" t="s">
        <v>293</v>
      </c>
      <c r="D71" s="1" t="s">
        <v>12</v>
      </c>
      <c r="E71" s="1" t="s">
        <v>294</v>
      </c>
      <c r="F71" s="1" t="s">
        <v>40</v>
      </c>
      <c r="G71" s="1" t="s">
        <v>35</v>
      </c>
      <c r="H71" s="1" t="s">
        <v>55</v>
      </c>
      <c r="I71" s="1">
        <v>0</v>
      </c>
      <c r="J71" s="12">
        <f t="shared" si="2"/>
        <v>45295</v>
      </c>
      <c r="K71" s="14">
        <f t="shared" si="3"/>
        <v>1</v>
      </c>
      <c r="L71" s="13"/>
      <c r="M71" s="13"/>
    </row>
    <row r="72" spans="1:13" x14ac:dyDescent="0.25">
      <c r="A72" s="1" t="s">
        <v>295</v>
      </c>
      <c r="B72" s="1" t="s">
        <v>296</v>
      </c>
      <c r="C72" s="1" t="s">
        <v>297</v>
      </c>
      <c r="D72" s="1" t="s">
        <v>12</v>
      </c>
      <c r="E72" s="1" t="s">
        <v>298</v>
      </c>
      <c r="F72" s="1" t="s">
        <v>29</v>
      </c>
      <c r="G72" s="1" t="s">
        <v>23</v>
      </c>
      <c r="H72" s="1" t="s">
        <v>16</v>
      </c>
      <c r="I72" s="1">
        <v>0</v>
      </c>
      <c r="J72" s="12">
        <f t="shared" si="2"/>
        <v>45293</v>
      </c>
      <c r="K72" s="14">
        <f t="shared" si="3"/>
        <v>1</v>
      </c>
      <c r="L72" s="13"/>
      <c r="M72" s="13"/>
    </row>
    <row r="73" spans="1:13" x14ac:dyDescent="0.25">
      <c r="A73" s="1" t="s">
        <v>299</v>
      </c>
      <c r="B73" s="1" t="s">
        <v>300</v>
      </c>
      <c r="C73" s="1" t="s">
        <v>301</v>
      </c>
      <c r="D73" s="1" t="s">
        <v>12</v>
      </c>
      <c r="E73" s="1" t="s">
        <v>302</v>
      </c>
      <c r="F73" s="1" t="s">
        <v>29</v>
      </c>
      <c r="G73" s="1" t="s">
        <v>15</v>
      </c>
      <c r="H73" s="1" t="s">
        <v>55</v>
      </c>
      <c r="I73" s="1">
        <v>0</v>
      </c>
      <c r="J73" s="12">
        <f t="shared" si="2"/>
        <v>45297</v>
      </c>
      <c r="K73" s="14">
        <f t="shared" si="3"/>
        <v>1</v>
      </c>
      <c r="L73" s="13"/>
      <c r="M73" s="13"/>
    </row>
    <row r="74" spans="1:13" x14ac:dyDescent="0.25">
      <c r="A74" s="1" t="s">
        <v>303</v>
      </c>
      <c r="B74" s="1" t="s">
        <v>304</v>
      </c>
      <c r="C74" s="1" t="s">
        <v>305</v>
      </c>
      <c r="D74" s="1" t="s">
        <v>45</v>
      </c>
      <c r="E74" s="1" t="s">
        <v>306</v>
      </c>
      <c r="F74" s="1" t="s">
        <v>40</v>
      </c>
      <c r="G74" s="1" t="s">
        <v>23</v>
      </c>
      <c r="H74" s="1" t="s">
        <v>41</v>
      </c>
      <c r="I74" s="1">
        <v>3131</v>
      </c>
      <c r="J74" s="12">
        <f t="shared" si="2"/>
        <v>45311</v>
      </c>
      <c r="K74" s="14">
        <f t="shared" si="3"/>
        <v>1</v>
      </c>
      <c r="L74" s="13"/>
      <c r="M74" s="13"/>
    </row>
    <row r="75" spans="1:13" x14ac:dyDescent="0.25">
      <c r="A75" s="1" t="s">
        <v>307</v>
      </c>
      <c r="B75" s="1" t="s">
        <v>308</v>
      </c>
      <c r="C75" s="1" t="s">
        <v>309</v>
      </c>
      <c r="D75" s="1" t="s">
        <v>12</v>
      </c>
      <c r="E75" s="1" t="s">
        <v>310</v>
      </c>
      <c r="F75" s="1" t="s">
        <v>22</v>
      </c>
      <c r="G75" s="1" t="s">
        <v>23</v>
      </c>
      <c r="H75" s="1" t="s">
        <v>55</v>
      </c>
      <c r="I75" s="1">
        <v>0</v>
      </c>
      <c r="J75" s="12">
        <f t="shared" si="2"/>
        <v>45298</v>
      </c>
      <c r="K75" s="14">
        <f t="shared" si="3"/>
        <v>1</v>
      </c>
      <c r="L75" s="13"/>
      <c r="M75" s="13"/>
    </row>
    <row r="76" spans="1:13" x14ac:dyDescent="0.25">
      <c r="A76" s="1" t="s">
        <v>311</v>
      </c>
      <c r="B76" s="1" t="s">
        <v>312</v>
      </c>
      <c r="C76" s="1" t="s">
        <v>313</v>
      </c>
      <c r="D76" s="1" t="s">
        <v>12</v>
      </c>
      <c r="E76" s="1" t="s">
        <v>314</v>
      </c>
      <c r="F76" s="1" t="s">
        <v>14</v>
      </c>
      <c r="G76" s="1" t="s">
        <v>35</v>
      </c>
      <c r="H76" s="1" t="s">
        <v>30</v>
      </c>
      <c r="I76" s="1">
        <v>0</v>
      </c>
      <c r="J76" s="12">
        <f t="shared" si="2"/>
        <v>45322</v>
      </c>
      <c r="K76" s="14">
        <f t="shared" si="3"/>
        <v>1</v>
      </c>
      <c r="L76" s="13"/>
      <c r="M76" s="13"/>
    </row>
    <row r="77" spans="1:13" x14ac:dyDescent="0.25">
      <c r="A77" s="1" t="s">
        <v>315</v>
      </c>
      <c r="B77" s="1" t="s">
        <v>316</v>
      </c>
      <c r="C77" s="1" t="s">
        <v>317</v>
      </c>
      <c r="D77" s="1" t="s">
        <v>20</v>
      </c>
      <c r="E77" s="1" t="s">
        <v>318</v>
      </c>
      <c r="F77" s="1" t="s">
        <v>14</v>
      </c>
      <c r="G77" s="1" t="s">
        <v>23</v>
      </c>
      <c r="H77" s="1" t="s">
        <v>24</v>
      </c>
      <c r="I77" s="1">
        <v>0</v>
      </c>
      <c r="J77" s="12">
        <f t="shared" si="2"/>
        <v>45325</v>
      </c>
      <c r="K77" s="14">
        <f t="shared" si="3"/>
        <v>2</v>
      </c>
      <c r="L77" s="13"/>
      <c r="M77" s="13"/>
    </row>
    <row r="78" spans="1:13" x14ac:dyDescent="0.25">
      <c r="A78" s="1" t="s">
        <v>319</v>
      </c>
      <c r="B78" s="1" t="s">
        <v>320</v>
      </c>
      <c r="C78" s="1" t="s">
        <v>321</v>
      </c>
      <c r="D78" s="1" t="s">
        <v>20</v>
      </c>
      <c r="E78" s="1" t="s">
        <v>322</v>
      </c>
      <c r="F78" s="1" t="s">
        <v>14</v>
      </c>
      <c r="G78" s="1" t="s">
        <v>23</v>
      </c>
      <c r="H78" s="1" t="s">
        <v>16</v>
      </c>
      <c r="I78" s="1">
        <v>0</v>
      </c>
      <c r="J78" s="12">
        <f t="shared" si="2"/>
        <v>45302</v>
      </c>
      <c r="K78" s="14">
        <f t="shared" si="3"/>
        <v>1</v>
      </c>
      <c r="L78" s="13"/>
      <c r="M78" s="13"/>
    </row>
    <row r="79" spans="1:13" x14ac:dyDescent="0.25">
      <c r="A79" s="1" t="s">
        <v>323</v>
      </c>
      <c r="B79" s="1" t="s">
        <v>324</v>
      </c>
      <c r="C79" s="1" t="s">
        <v>325</v>
      </c>
      <c r="D79" s="1" t="s">
        <v>20</v>
      </c>
      <c r="E79" s="1" t="s">
        <v>326</v>
      </c>
      <c r="F79" s="1" t="s">
        <v>29</v>
      </c>
      <c r="G79" s="1" t="s">
        <v>35</v>
      </c>
      <c r="H79" s="1" t="s">
        <v>30</v>
      </c>
      <c r="I79" s="1">
        <v>0</v>
      </c>
      <c r="J79" s="12">
        <f t="shared" si="2"/>
        <v>45312</v>
      </c>
      <c r="K79" s="14">
        <f t="shared" si="3"/>
        <v>1</v>
      </c>
      <c r="L79" s="13"/>
      <c r="M79" s="13"/>
    </row>
    <row r="80" spans="1:13" x14ac:dyDescent="0.25">
      <c r="A80" s="1" t="s">
        <v>327</v>
      </c>
      <c r="B80" s="1" t="s">
        <v>328</v>
      </c>
      <c r="C80" s="1" t="s">
        <v>329</v>
      </c>
      <c r="D80" s="1" t="s">
        <v>20</v>
      </c>
      <c r="E80" s="1" t="s">
        <v>330</v>
      </c>
      <c r="F80" s="1" t="s">
        <v>40</v>
      </c>
      <c r="G80" s="1" t="s">
        <v>23</v>
      </c>
      <c r="H80" s="1" t="s">
        <v>24</v>
      </c>
      <c r="I80" s="1">
        <v>0</v>
      </c>
      <c r="J80" s="12">
        <f t="shared" si="2"/>
        <v>45305</v>
      </c>
      <c r="K80" s="14">
        <f t="shared" si="3"/>
        <v>1</v>
      </c>
      <c r="L80" s="13"/>
      <c r="M80" s="13"/>
    </row>
    <row r="81" spans="1:13" x14ac:dyDescent="0.25">
      <c r="A81" s="1" t="s">
        <v>331</v>
      </c>
      <c r="B81" s="1" t="s">
        <v>332</v>
      </c>
      <c r="C81" s="1" t="s">
        <v>333</v>
      </c>
      <c r="D81" s="1" t="s">
        <v>12</v>
      </c>
      <c r="E81" s="1" t="s">
        <v>334</v>
      </c>
      <c r="F81" s="1" t="s">
        <v>75</v>
      </c>
      <c r="G81" s="1" t="s">
        <v>35</v>
      </c>
      <c r="H81" s="1" t="s">
        <v>41</v>
      </c>
      <c r="I81" s="1">
        <v>0</v>
      </c>
      <c r="J81" s="12">
        <f t="shared" si="2"/>
        <v>45324</v>
      </c>
      <c r="K81" s="14">
        <f t="shared" si="3"/>
        <v>2</v>
      </c>
      <c r="L81" s="13"/>
      <c r="M81" s="13"/>
    </row>
    <row r="82" spans="1:13" x14ac:dyDescent="0.25">
      <c r="A82" s="1" t="s">
        <v>335</v>
      </c>
      <c r="B82" s="1" t="s">
        <v>336</v>
      </c>
      <c r="C82" s="1" t="s">
        <v>337</v>
      </c>
      <c r="D82" s="1" t="s">
        <v>20</v>
      </c>
      <c r="E82" s="1" t="s">
        <v>338</v>
      </c>
      <c r="F82" s="1" t="s">
        <v>40</v>
      </c>
      <c r="G82" s="1" t="s">
        <v>23</v>
      </c>
      <c r="H82" s="1" t="s">
        <v>55</v>
      </c>
      <c r="I82" s="1">
        <v>0</v>
      </c>
      <c r="J82" s="12">
        <f t="shared" si="2"/>
        <v>45293</v>
      </c>
      <c r="K82" s="14">
        <f t="shared" si="3"/>
        <v>1</v>
      </c>
      <c r="L82" s="13"/>
      <c r="M82" s="13"/>
    </row>
    <row r="83" spans="1:13" x14ac:dyDescent="0.25">
      <c r="A83" s="1" t="s">
        <v>339</v>
      </c>
      <c r="B83" s="1" t="s">
        <v>340</v>
      </c>
      <c r="C83" s="1" t="s">
        <v>341</v>
      </c>
      <c r="D83" s="1" t="s">
        <v>45</v>
      </c>
      <c r="E83" s="1" t="s">
        <v>342</v>
      </c>
      <c r="F83" s="1" t="s">
        <v>29</v>
      </c>
      <c r="G83" s="1" t="s">
        <v>35</v>
      </c>
      <c r="H83" s="1" t="s">
        <v>55</v>
      </c>
      <c r="I83" s="1">
        <v>1342</v>
      </c>
      <c r="J83" s="12">
        <f t="shared" si="2"/>
        <v>45299</v>
      </c>
      <c r="K83" s="14">
        <f t="shared" si="3"/>
        <v>1</v>
      </c>
      <c r="L83" s="13"/>
      <c r="M83" s="13"/>
    </row>
    <row r="84" spans="1:13" x14ac:dyDescent="0.25">
      <c r="A84" s="1" t="s">
        <v>343</v>
      </c>
      <c r="B84" s="1" t="s">
        <v>344</v>
      </c>
      <c r="C84" s="1" t="s">
        <v>345</v>
      </c>
      <c r="D84" s="1" t="s">
        <v>20</v>
      </c>
      <c r="E84" s="1" t="s">
        <v>346</v>
      </c>
      <c r="F84" s="1" t="s">
        <v>40</v>
      </c>
      <c r="G84" s="1" t="s">
        <v>35</v>
      </c>
      <c r="H84" s="1" t="s">
        <v>30</v>
      </c>
      <c r="I84" s="1">
        <v>0</v>
      </c>
      <c r="J84" s="12">
        <f t="shared" si="2"/>
        <v>45295</v>
      </c>
      <c r="K84" s="14">
        <f t="shared" si="3"/>
        <v>1</v>
      </c>
      <c r="L84" s="13"/>
      <c r="M84" s="13"/>
    </row>
    <row r="85" spans="1:13" x14ac:dyDescent="0.25">
      <c r="A85" s="1" t="s">
        <v>347</v>
      </c>
      <c r="B85" s="1" t="s">
        <v>348</v>
      </c>
      <c r="C85" s="1" t="s">
        <v>349</v>
      </c>
      <c r="D85" s="1" t="s">
        <v>12</v>
      </c>
      <c r="E85" s="1" t="s">
        <v>350</v>
      </c>
      <c r="F85" s="1" t="s">
        <v>40</v>
      </c>
      <c r="G85" s="1" t="s">
        <v>35</v>
      </c>
      <c r="H85" s="1" t="s">
        <v>41</v>
      </c>
      <c r="I85" s="1">
        <v>0</v>
      </c>
      <c r="J85" s="12">
        <f t="shared" si="2"/>
        <v>45301</v>
      </c>
      <c r="K85" s="14">
        <f t="shared" si="3"/>
        <v>1</v>
      </c>
      <c r="L85" s="13"/>
      <c r="M85" s="13"/>
    </row>
    <row r="86" spans="1:13" x14ac:dyDescent="0.25">
      <c r="A86" s="1" t="s">
        <v>351</v>
      </c>
      <c r="B86" s="1" t="s">
        <v>352</v>
      </c>
      <c r="C86" s="1" t="s">
        <v>353</v>
      </c>
      <c r="D86" s="1" t="s">
        <v>45</v>
      </c>
      <c r="E86" s="1" t="s">
        <v>87</v>
      </c>
      <c r="F86" s="1" t="s">
        <v>75</v>
      </c>
      <c r="G86" s="1" t="s">
        <v>15</v>
      </c>
      <c r="H86" s="1" t="s">
        <v>55</v>
      </c>
      <c r="I86" s="1">
        <v>3379</v>
      </c>
      <c r="J86" s="12">
        <f t="shared" si="2"/>
        <v>45315</v>
      </c>
      <c r="K86" s="14">
        <f t="shared" si="3"/>
        <v>1</v>
      </c>
      <c r="L86" s="13"/>
      <c r="M86" s="13"/>
    </row>
    <row r="87" spans="1:13" x14ac:dyDescent="0.25">
      <c r="A87" s="1" t="s">
        <v>354</v>
      </c>
      <c r="B87" s="1" t="s">
        <v>355</v>
      </c>
      <c r="C87" s="1" t="s">
        <v>356</v>
      </c>
      <c r="D87" s="1" t="s">
        <v>20</v>
      </c>
      <c r="E87" s="1" t="s">
        <v>357</v>
      </c>
      <c r="F87" s="1" t="s">
        <v>22</v>
      </c>
      <c r="G87" s="1" t="s">
        <v>23</v>
      </c>
      <c r="H87" s="1" t="s">
        <v>24</v>
      </c>
      <c r="I87" s="1">
        <v>0</v>
      </c>
      <c r="J87" s="12">
        <f t="shared" si="2"/>
        <v>45306</v>
      </c>
      <c r="K87" s="14">
        <f t="shared" si="3"/>
        <v>1</v>
      </c>
      <c r="L87" s="13"/>
      <c r="M87" s="13"/>
    </row>
    <row r="88" spans="1:13" x14ac:dyDescent="0.25">
      <c r="A88" s="1" t="s">
        <v>358</v>
      </c>
      <c r="B88" s="1" t="s">
        <v>359</v>
      </c>
      <c r="C88" s="1" t="s">
        <v>360</v>
      </c>
      <c r="D88" s="1" t="s">
        <v>12</v>
      </c>
      <c r="E88" s="1" t="s">
        <v>361</v>
      </c>
      <c r="F88" s="1" t="s">
        <v>75</v>
      </c>
      <c r="G88" s="1" t="s">
        <v>35</v>
      </c>
      <c r="H88" s="1" t="s">
        <v>55</v>
      </c>
      <c r="I88" s="1">
        <v>0</v>
      </c>
      <c r="J88" s="12">
        <f t="shared" si="2"/>
        <v>45313</v>
      </c>
      <c r="K88" s="14">
        <f t="shared" si="3"/>
        <v>1</v>
      </c>
      <c r="L88" s="13"/>
      <c r="M88" s="13"/>
    </row>
    <row r="89" spans="1:13" x14ac:dyDescent="0.25">
      <c r="A89" s="1" t="s">
        <v>362</v>
      </c>
      <c r="B89" s="1" t="s">
        <v>363</v>
      </c>
      <c r="C89" s="1" t="s">
        <v>364</v>
      </c>
      <c r="D89" s="1" t="s">
        <v>45</v>
      </c>
      <c r="E89" s="1" t="s">
        <v>365</v>
      </c>
      <c r="F89" s="1" t="s">
        <v>22</v>
      </c>
      <c r="G89" s="1" t="s">
        <v>35</v>
      </c>
      <c r="H89" s="1" t="s">
        <v>24</v>
      </c>
      <c r="I89" s="1">
        <v>3063</v>
      </c>
      <c r="J89" s="12">
        <f t="shared" si="2"/>
        <v>45313</v>
      </c>
      <c r="K89" s="14">
        <f t="shared" si="3"/>
        <v>1</v>
      </c>
      <c r="L89" s="13"/>
      <c r="M89" s="13"/>
    </row>
    <row r="90" spans="1:13" x14ac:dyDescent="0.25">
      <c r="A90" s="1" t="s">
        <v>366</v>
      </c>
      <c r="B90" s="1" t="s">
        <v>367</v>
      </c>
      <c r="C90" s="1" t="s">
        <v>368</v>
      </c>
      <c r="D90" s="1" t="s">
        <v>12</v>
      </c>
      <c r="E90" s="1" t="s">
        <v>369</v>
      </c>
      <c r="F90" s="1" t="s">
        <v>14</v>
      </c>
      <c r="G90" s="1" t="s">
        <v>23</v>
      </c>
      <c r="H90" s="1" t="s">
        <v>41</v>
      </c>
      <c r="I90" s="1">
        <v>0</v>
      </c>
      <c r="J90" s="12">
        <f t="shared" si="2"/>
        <v>45319</v>
      </c>
      <c r="K90" s="14">
        <f t="shared" si="3"/>
        <v>1</v>
      </c>
      <c r="L90" s="13"/>
      <c r="M90" s="13"/>
    </row>
    <row r="91" spans="1:13" x14ac:dyDescent="0.25">
      <c r="A91" s="1" t="s">
        <v>370</v>
      </c>
      <c r="B91" s="1" t="s">
        <v>371</v>
      </c>
      <c r="C91" s="1" t="s">
        <v>372</v>
      </c>
      <c r="D91" s="1" t="s">
        <v>12</v>
      </c>
      <c r="E91" s="1" t="s">
        <v>373</v>
      </c>
      <c r="F91" s="1" t="s">
        <v>14</v>
      </c>
      <c r="G91" s="1" t="s">
        <v>35</v>
      </c>
      <c r="H91" s="1" t="s">
        <v>16</v>
      </c>
      <c r="I91" s="1">
        <v>0</v>
      </c>
      <c r="J91" s="12">
        <f t="shared" si="2"/>
        <v>45323</v>
      </c>
      <c r="K91" s="14">
        <f t="shared" si="3"/>
        <v>2</v>
      </c>
      <c r="L91" s="13"/>
      <c r="M91" s="13"/>
    </row>
    <row r="92" spans="1:13" x14ac:dyDescent="0.25">
      <c r="A92" s="1" t="s">
        <v>374</v>
      </c>
      <c r="B92" s="1" t="s">
        <v>375</v>
      </c>
      <c r="C92" s="1" t="s">
        <v>376</v>
      </c>
      <c r="D92" s="1" t="s">
        <v>45</v>
      </c>
      <c r="E92" s="1" t="s">
        <v>377</v>
      </c>
      <c r="F92" s="1" t="s">
        <v>75</v>
      </c>
      <c r="G92" s="1" t="s">
        <v>23</v>
      </c>
      <c r="H92" s="1" t="s">
        <v>55</v>
      </c>
      <c r="I92" s="1">
        <v>3786</v>
      </c>
      <c r="J92" s="12">
        <f t="shared" si="2"/>
        <v>45310</v>
      </c>
      <c r="K92" s="14">
        <f t="shared" si="3"/>
        <v>1</v>
      </c>
      <c r="L92" s="13"/>
      <c r="M92" s="13"/>
    </row>
    <row r="93" spans="1:13" x14ac:dyDescent="0.25">
      <c r="A93" s="1" t="s">
        <v>378</v>
      </c>
      <c r="B93" s="1" t="s">
        <v>379</v>
      </c>
      <c r="C93" s="1" t="s">
        <v>380</v>
      </c>
      <c r="D93" s="1" t="s">
        <v>20</v>
      </c>
      <c r="E93" s="1" t="s">
        <v>381</v>
      </c>
      <c r="F93" s="1" t="s">
        <v>14</v>
      </c>
      <c r="G93" s="1" t="s">
        <v>15</v>
      </c>
      <c r="H93" s="1" t="s">
        <v>24</v>
      </c>
      <c r="I93" s="1">
        <v>0</v>
      </c>
      <c r="J93" s="12">
        <f t="shared" si="2"/>
        <v>45311</v>
      </c>
      <c r="K93" s="14">
        <f t="shared" si="3"/>
        <v>1</v>
      </c>
      <c r="L93" s="13"/>
      <c r="M93" s="13"/>
    </row>
    <row r="94" spans="1:13" x14ac:dyDescent="0.25">
      <c r="A94" s="1" t="s">
        <v>382</v>
      </c>
      <c r="B94" s="1" t="s">
        <v>383</v>
      </c>
      <c r="C94" s="1" t="s">
        <v>384</v>
      </c>
      <c r="D94" s="1" t="s">
        <v>45</v>
      </c>
      <c r="E94" s="1" t="s">
        <v>385</v>
      </c>
      <c r="F94" s="1" t="s">
        <v>40</v>
      </c>
      <c r="G94" s="1" t="s">
        <v>23</v>
      </c>
      <c r="H94" s="1" t="s">
        <v>24</v>
      </c>
      <c r="I94" s="1">
        <v>538</v>
      </c>
      <c r="J94" s="12">
        <f t="shared" si="2"/>
        <v>45305</v>
      </c>
      <c r="K94" s="14">
        <f t="shared" si="3"/>
        <v>1</v>
      </c>
      <c r="L94" s="13"/>
      <c r="M94" s="13"/>
    </row>
    <row r="95" spans="1:13" x14ac:dyDescent="0.25">
      <c r="A95" s="1" t="s">
        <v>386</v>
      </c>
      <c r="B95" s="1" t="s">
        <v>387</v>
      </c>
      <c r="C95" s="1" t="s">
        <v>388</v>
      </c>
      <c r="D95" s="1" t="s">
        <v>12</v>
      </c>
      <c r="E95" s="1" t="s">
        <v>389</v>
      </c>
      <c r="F95" s="1" t="s">
        <v>14</v>
      </c>
      <c r="G95" s="1" t="s">
        <v>35</v>
      </c>
      <c r="H95" s="1" t="s">
        <v>16</v>
      </c>
      <c r="I95" s="1">
        <v>0</v>
      </c>
      <c r="J95" s="12">
        <f t="shared" si="2"/>
        <v>45309</v>
      </c>
      <c r="K95" s="14">
        <f t="shared" si="3"/>
        <v>1</v>
      </c>
      <c r="L95" s="13"/>
      <c r="M95" s="13"/>
    </row>
    <row r="96" spans="1:13" x14ac:dyDescent="0.25">
      <c r="A96" s="1" t="s">
        <v>390</v>
      </c>
      <c r="B96" s="1" t="s">
        <v>391</v>
      </c>
      <c r="C96" s="1" t="s">
        <v>392</v>
      </c>
      <c r="D96" s="1" t="s">
        <v>45</v>
      </c>
      <c r="E96" s="1" t="s">
        <v>146</v>
      </c>
      <c r="F96" s="1" t="s">
        <v>14</v>
      </c>
      <c r="G96" s="1" t="s">
        <v>15</v>
      </c>
      <c r="H96" s="1" t="s">
        <v>16</v>
      </c>
      <c r="I96" s="1">
        <v>2739</v>
      </c>
      <c r="J96" s="12">
        <f t="shared" si="2"/>
        <v>45318</v>
      </c>
      <c r="K96" s="14">
        <f t="shared" si="3"/>
        <v>1</v>
      </c>
      <c r="L96" s="13"/>
      <c r="M96" s="13"/>
    </row>
    <row r="97" spans="1:13" x14ac:dyDescent="0.25">
      <c r="A97" s="1" t="s">
        <v>393</v>
      </c>
      <c r="B97" s="1" t="s">
        <v>394</v>
      </c>
      <c r="C97" s="1" t="s">
        <v>395</v>
      </c>
      <c r="D97" s="1" t="s">
        <v>20</v>
      </c>
      <c r="E97" s="1" t="s">
        <v>396</v>
      </c>
      <c r="F97" s="1" t="s">
        <v>75</v>
      </c>
      <c r="G97" s="1" t="s">
        <v>15</v>
      </c>
      <c r="H97" s="1" t="s">
        <v>41</v>
      </c>
      <c r="I97" s="1">
        <v>0</v>
      </c>
      <c r="J97" s="12">
        <f t="shared" si="2"/>
        <v>45316</v>
      </c>
      <c r="K97" s="14">
        <f t="shared" si="3"/>
        <v>1</v>
      </c>
      <c r="L97" s="13"/>
      <c r="M97" s="13"/>
    </row>
    <row r="98" spans="1:13" x14ac:dyDescent="0.25">
      <c r="A98" s="1" t="s">
        <v>112</v>
      </c>
      <c r="B98" s="1" t="s">
        <v>397</v>
      </c>
      <c r="C98" s="1" t="s">
        <v>398</v>
      </c>
      <c r="D98" s="1" t="s">
        <v>12</v>
      </c>
      <c r="E98" s="1" t="s">
        <v>399</v>
      </c>
      <c r="F98" s="1" t="s">
        <v>14</v>
      </c>
      <c r="G98" s="1" t="s">
        <v>35</v>
      </c>
      <c r="H98" s="1" t="s">
        <v>24</v>
      </c>
      <c r="I98" s="1">
        <v>0</v>
      </c>
      <c r="J98" s="12">
        <f t="shared" si="2"/>
        <v>45326</v>
      </c>
      <c r="K98" s="14">
        <f t="shared" si="3"/>
        <v>2</v>
      </c>
      <c r="L98" s="13"/>
      <c r="M98" s="13"/>
    </row>
    <row r="99" spans="1:13" x14ac:dyDescent="0.25">
      <c r="A99" s="1" t="s">
        <v>400</v>
      </c>
      <c r="B99" s="1" t="s">
        <v>401</v>
      </c>
      <c r="C99" s="1" t="s">
        <v>402</v>
      </c>
      <c r="D99" s="1" t="s">
        <v>20</v>
      </c>
      <c r="E99" s="1" t="s">
        <v>403</v>
      </c>
      <c r="F99" s="1" t="s">
        <v>14</v>
      </c>
      <c r="G99" s="1" t="s">
        <v>35</v>
      </c>
      <c r="H99" s="1" t="s">
        <v>30</v>
      </c>
      <c r="I99" s="1">
        <v>0</v>
      </c>
      <c r="J99" s="12">
        <f t="shared" si="2"/>
        <v>45326</v>
      </c>
      <c r="K99" s="14">
        <f t="shared" si="3"/>
        <v>2</v>
      </c>
      <c r="L99" s="13"/>
      <c r="M99" s="13"/>
    </row>
    <row r="100" spans="1:13" x14ac:dyDescent="0.25">
      <c r="A100" s="1" t="s">
        <v>404</v>
      </c>
      <c r="B100" s="1" t="s">
        <v>405</v>
      </c>
      <c r="C100" s="1" t="s">
        <v>406</v>
      </c>
      <c r="D100" s="1" t="s">
        <v>45</v>
      </c>
      <c r="E100" s="1" t="s">
        <v>407</v>
      </c>
      <c r="F100" s="1" t="s">
        <v>29</v>
      </c>
      <c r="G100" s="1" t="s">
        <v>23</v>
      </c>
      <c r="H100" s="1" t="s">
        <v>30</v>
      </c>
      <c r="I100" s="1">
        <v>4522</v>
      </c>
      <c r="J100" s="12">
        <f t="shared" si="2"/>
        <v>45300</v>
      </c>
      <c r="K100" s="14">
        <f t="shared" si="3"/>
        <v>1</v>
      </c>
      <c r="L100" s="13"/>
      <c r="M100" s="13"/>
    </row>
    <row r="101" spans="1:13" x14ac:dyDescent="0.25">
      <c r="A101" s="1" t="s">
        <v>408</v>
      </c>
      <c r="B101" s="1" t="s">
        <v>409</v>
      </c>
      <c r="C101" s="1" t="s">
        <v>410</v>
      </c>
      <c r="D101" s="1" t="s">
        <v>45</v>
      </c>
      <c r="E101" s="1" t="s">
        <v>411</v>
      </c>
      <c r="F101" s="1" t="s">
        <v>75</v>
      </c>
      <c r="G101" s="1" t="s">
        <v>35</v>
      </c>
      <c r="H101" s="1" t="s">
        <v>16</v>
      </c>
      <c r="I101" s="1">
        <v>3973</v>
      </c>
      <c r="J101" s="12">
        <f t="shared" si="2"/>
        <v>45293</v>
      </c>
      <c r="K101" s="14">
        <f t="shared" si="3"/>
        <v>1</v>
      </c>
      <c r="L101" s="13"/>
      <c r="M101" s="13"/>
    </row>
    <row r="102" spans="1:13" x14ac:dyDescent="0.25">
      <c r="A102" s="1" t="s">
        <v>412</v>
      </c>
      <c r="B102" s="1" t="s">
        <v>413</v>
      </c>
      <c r="C102" s="1" t="s">
        <v>414</v>
      </c>
      <c r="D102" s="1" t="s">
        <v>45</v>
      </c>
      <c r="E102" s="1" t="s">
        <v>415</v>
      </c>
      <c r="F102" s="1" t="s">
        <v>29</v>
      </c>
      <c r="G102" s="1" t="s">
        <v>23</v>
      </c>
      <c r="H102" s="1" t="s">
        <v>30</v>
      </c>
      <c r="I102" s="1">
        <v>1792</v>
      </c>
      <c r="J102" s="12">
        <f t="shared" si="2"/>
        <v>45315</v>
      </c>
      <c r="K102" s="14">
        <f t="shared" si="3"/>
        <v>1</v>
      </c>
      <c r="L102" s="13"/>
      <c r="M102" s="13"/>
    </row>
    <row r="103" spans="1:13" x14ac:dyDescent="0.25">
      <c r="A103" s="1" t="s">
        <v>416</v>
      </c>
      <c r="B103" s="1" t="s">
        <v>417</v>
      </c>
      <c r="C103" s="1" t="s">
        <v>418</v>
      </c>
      <c r="D103" s="1" t="s">
        <v>12</v>
      </c>
      <c r="E103" s="1" t="s">
        <v>419</v>
      </c>
      <c r="F103" s="1" t="s">
        <v>14</v>
      </c>
      <c r="G103" s="1" t="s">
        <v>23</v>
      </c>
      <c r="H103" s="1" t="s">
        <v>24</v>
      </c>
      <c r="I103" s="1">
        <v>0</v>
      </c>
      <c r="J103" s="12">
        <f t="shared" si="2"/>
        <v>45323</v>
      </c>
      <c r="K103" s="14">
        <f t="shared" si="3"/>
        <v>2</v>
      </c>
      <c r="L103" s="13"/>
      <c r="M103" s="13"/>
    </row>
    <row r="104" spans="1:13" x14ac:dyDescent="0.25">
      <c r="A104" s="1" t="s">
        <v>420</v>
      </c>
      <c r="B104" s="1" t="s">
        <v>421</v>
      </c>
      <c r="C104" s="1" t="s">
        <v>422</v>
      </c>
      <c r="D104" s="1" t="s">
        <v>12</v>
      </c>
      <c r="E104" s="1" t="s">
        <v>423</v>
      </c>
      <c r="F104" s="1" t="s">
        <v>22</v>
      </c>
      <c r="G104" s="1" t="s">
        <v>15</v>
      </c>
      <c r="H104" s="1" t="s">
        <v>24</v>
      </c>
      <c r="I104" s="1">
        <v>0</v>
      </c>
      <c r="J104" s="12">
        <f t="shared" si="2"/>
        <v>45314</v>
      </c>
      <c r="K104" s="14">
        <f t="shared" si="3"/>
        <v>1</v>
      </c>
      <c r="L104" s="13"/>
      <c r="M104" s="13"/>
    </row>
    <row r="105" spans="1:13" x14ac:dyDescent="0.25">
      <c r="A105" s="1" t="s">
        <v>186</v>
      </c>
      <c r="B105" s="1" t="s">
        <v>424</v>
      </c>
      <c r="C105" s="1" t="s">
        <v>425</v>
      </c>
      <c r="D105" s="1" t="s">
        <v>20</v>
      </c>
      <c r="E105" s="1" t="s">
        <v>426</v>
      </c>
      <c r="F105" s="1" t="s">
        <v>14</v>
      </c>
      <c r="G105" s="1" t="s">
        <v>15</v>
      </c>
      <c r="H105" s="1" t="s">
        <v>30</v>
      </c>
      <c r="I105" s="1">
        <v>0</v>
      </c>
      <c r="J105" s="12">
        <f t="shared" si="2"/>
        <v>45319</v>
      </c>
      <c r="K105" s="14">
        <f t="shared" si="3"/>
        <v>1</v>
      </c>
      <c r="L105" s="13"/>
      <c r="M105" s="13"/>
    </row>
    <row r="106" spans="1:13" x14ac:dyDescent="0.25">
      <c r="A106" s="1" t="s">
        <v>232</v>
      </c>
      <c r="B106" s="1" t="s">
        <v>427</v>
      </c>
      <c r="C106" s="1" t="s">
        <v>428</v>
      </c>
      <c r="D106" s="1" t="s">
        <v>20</v>
      </c>
      <c r="E106" s="1" t="s">
        <v>429</v>
      </c>
      <c r="F106" s="1" t="s">
        <v>40</v>
      </c>
      <c r="G106" s="1" t="s">
        <v>23</v>
      </c>
      <c r="H106" s="1" t="s">
        <v>16</v>
      </c>
      <c r="I106" s="1">
        <v>0</v>
      </c>
      <c r="J106" s="12">
        <f t="shared" si="2"/>
        <v>45299</v>
      </c>
      <c r="K106" s="14">
        <f t="shared" si="3"/>
        <v>1</v>
      </c>
      <c r="L106" s="13"/>
      <c r="M106" s="13"/>
    </row>
    <row r="107" spans="1:13" x14ac:dyDescent="0.25">
      <c r="A107" s="1" t="s">
        <v>278</v>
      </c>
      <c r="B107" s="1" t="s">
        <v>430</v>
      </c>
      <c r="C107" s="1" t="s">
        <v>431</v>
      </c>
      <c r="D107" s="1" t="s">
        <v>45</v>
      </c>
      <c r="E107" s="1" t="s">
        <v>432</v>
      </c>
      <c r="F107" s="1" t="s">
        <v>14</v>
      </c>
      <c r="G107" s="1" t="s">
        <v>23</v>
      </c>
      <c r="H107" s="1" t="s">
        <v>41</v>
      </c>
      <c r="I107" s="1">
        <v>433</v>
      </c>
      <c r="J107" s="12">
        <f t="shared" si="2"/>
        <v>45310</v>
      </c>
      <c r="K107" s="14">
        <f t="shared" si="3"/>
        <v>1</v>
      </c>
      <c r="L107" s="13"/>
      <c r="M107" s="13"/>
    </row>
    <row r="108" spans="1:13" x14ac:dyDescent="0.25">
      <c r="A108" s="1" t="s">
        <v>433</v>
      </c>
      <c r="B108" s="1" t="s">
        <v>434</v>
      </c>
      <c r="C108" s="1" t="s">
        <v>435</v>
      </c>
      <c r="D108" s="1" t="s">
        <v>45</v>
      </c>
      <c r="E108" s="1" t="s">
        <v>436</v>
      </c>
      <c r="F108" s="1" t="s">
        <v>75</v>
      </c>
      <c r="G108" s="1" t="s">
        <v>15</v>
      </c>
      <c r="H108" s="1" t="s">
        <v>30</v>
      </c>
      <c r="I108" s="1">
        <v>3894</v>
      </c>
      <c r="J108" s="12">
        <f t="shared" si="2"/>
        <v>45303</v>
      </c>
      <c r="K108" s="14">
        <f t="shared" si="3"/>
        <v>1</v>
      </c>
      <c r="L108" s="13"/>
      <c r="M108" s="13"/>
    </row>
    <row r="109" spans="1:13" x14ac:dyDescent="0.25">
      <c r="A109" s="1" t="s">
        <v>437</v>
      </c>
      <c r="B109" s="1" t="s">
        <v>438</v>
      </c>
      <c r="C109" s="1" t="s">
        <v>439</v>
      </c>
      <c r="D109" s="1" t="s">
        <v>20</v>
      </c>
      <c r="E109" s="1" t="s">
        <v>314</v>
      </c>
      <c r="F109" s="1" t="s">
        <v>14</v>
      </c>
      <c r="G109" s="1" t="s">
        <v>23</v>
      </c>
      <c r="H109" s="1" t="s">
        <v>55</v>
      </c>
      <c r="I109" s="1">
        <v>0</v>
      </c>
      <c r="J109" s="12">
        <f t="shared" si="2"/>
        <v>45297</v>
      </c>
      <c r="K109" s="14">
        <f t="shared" si="3"/>
        <v>1</v>
      </c>
      <c r="L109" s="13"/>
      <c r="M109" s="13"/>
    </row>
    <row r="110" spans="1:13" x14ac:dyDescent="0.25">
      <c r="A110" s="1" t="s">
        <v>440</v>
      </c>
      <c r="B110" s="1" t="s">
        <v>441</v>
      </c>
      <c r="C110" s="1" t="s">
        <v>442</v>
      </c>
      <c r="D110" s="1" t="s">
        <v>12</v>
      </c>
      <c r="E110" s="1" t="s">
        <v>443</v>
      </c>
      <c r="F110" s="1" t="s">
        <v>75</v>
      </c>
      <c r="G110" s="1" t="s">
        <v>35</v>
      </c>
      <c r="H110" s="1" t="s">
        <v>55</v>
      </c>
      <c r="I110" s="1">
        <v>0</v>
      </c>
      <c r="J110" s="12">
        <f t="shared" si="2"/>
        <v>45325</v>
      </c>
      <c r="K110" s="14">
        <f t="shared" si="3"/>
        <v>2</v>
      </c>
      <c r="L110" s="13"/>
      <c r="M110" s="13"/>
    </row>
    <row r="111" spans="1:13" x14ac:dyDescent="0.25">
      <c r="A111" s="1" t="s">
        <v>444</v>
      </c>
      <c r="B111" s="1" t="s">
        <v>445</v>
      </c>
      <c r="C111" s="1" t="s">
        <v>446</v>
      </c>
      <c r="D111" s="1" t="s">
        <v>45</v>
      </c>
      <c r="E111" s="1" t="s">
        <v>447</v>
      </c>
      <c r="F111" s="1" t="s">
        <v>75</v>
      </c>
      <c r="G111" s="1" t="s">
        <v>15</v>
      </c>
      <c r="H111" s="1" t="s">
        <v>41</v>
      </c>
      <c r="I111" s="1">
        <v>3168</v>
      </c>
      <c r="J111" s="12">
        <f t="shared" si="2"/>
        <v>45294</v>
      </c>
      <c r="K111" s="14">
        <f t="shared" si="3"/>
        <v>1</v>
      </c>
      <c r="L111" s="13"/>
      <c r="M111" s="13"/>
    </row>
    <row r="112" spans="1:13" x14ac:dyDescent="0.25">
      <c r="A112" s="1" t="s">
        <v>448</v>
      </c>
      <c r="B112" s="1" t="s">
        <v>449</v>
      </c>
      <c r="C112" s="1" t="s">
        <v>450</v>
      </c>
      <c r="D112" s="1" t="s">
        <v>20</v>
      </c>
      <c r="E112" s="1" t="s">
        <v>399</v>
      </c>
      <c r="F112" s="1" t="s">
        <v>22</v>
      </c>
      <c r="G112" s="1" t="s">
        <v>15</v>
      </c>
      <c r="H112" s="1" t="s">
        <v>16</v>
      </c>
      <c r="I112" s="1">
        <v>0</v>
      </c>
      <c r="J112" s="12">
        <f t="shared" si="2"/>
        <v>45313</v>
      </c>
      <c r="K112" s="14">
        <f t="shared" si="3"/>
        <v>1</v>
      </c>
      <c r="L112" s="13"/>
      <c r="M112" s="13"/>
    </row>
    <row r="113" spans="1:13" x14ac:dyDescent="0.25">
      <c r="A113" s="1" t="s">
        <v>451</v>
      </c>
      <c r="B113" s="1" t="s">
        <v>452</v>
      </c>
      <c r="C113" s="1" t="s">
        <v>453</v>
      </c>
      <c r="D113" s="1" t="s">
        <v>12</v>
      </c>
      <c r="E113" s="1" t="s">
        <v>454</v>
      </c>
      <c r="F113" s="1" t="s">
        <v>75</v>
      </c>
      <c r="G113" s="1" t="s">
        <v>35</v>
      </c>
      <c r="H113" s="1" t="s">
        <v>16</v>
      </c>
      <c r="I113" s="1">
        <v>0</v>
      </c>
      <c r="J113" s="12">
        <f t="shared" si="2"/>
        <v>45305</v>
      </c>
      <c r="K113" s="14">
        <f t="shared" si="3"/>
        <v>1</v>
      </c>
      <c r="L113" s="13"/>
      <c r="M113" s="13"/>
    </row>
    <row r="114" spans="1:13" x14ac:dyDescent="0.25">
      <c r="A114" s="1" t="s">
        <v>455</v>
      </c>
      <c r="B114" s="1" t="s">
        <v>456</v>
      </c>
      <c r="C114" s="1" t="s">
        <v>457</v>
      </c>
      <c r="D114" s="1" t="s">
        <v>45</v>
      </c>
      <c r="E114" s="1" t="s">
        <v>458</v>
      </c>
      <c r="F114" s="1" t="s">
        <v>14</v>
      </c>
      <c r="G114" s="1" t="s">
        <v>15</v>
      </c>
      <c r="H114" s="1" t="s">
        <v>55</v>
      </c>
      <c r="I114" s="1">
        <v>3710</v>
      </c>
      <c r="J114" s="12">
        <f t="shared" si="2"/>
        <v>45311</v>
      </c>
      <c r="K114" s="14">
        <f t="shared" si="3"/>
        <v>1</v>
      </c>
      <c r="L114" s="13"/>
      <c r="M114" s="13"/>
    </row>
    <row r="115" spans="1:13" x14ac:dyDescent="0.25">
      <c r="A115" s="1" t="s">
        <v>459</v>
      </c>
      <c r="B115" s="1" t="s">
        <v>460</v>
      </c>
      <c r="C115" s="1" t="s">
        <v>461</v>
      </c>
      <c r="D115" s="1" t="s">
        <v>20</v>
      </c>
      <c r="E115" s="1" t="s">
        <v>462</v>
      </c>
      <c r="F115" s="1" t="s">
        <v>75</v>
      </c>
      <c r="G115" s="1" t="s">
        <v>15</v>
      </c>
      <c r="H115" s="1" t="s">
        <v>55</v>
      </c>
      <c r="I115" s="1">
        <v>0</v>
      </c>
      <c r="J115" s="12">
        <f t="shared" si="2"/>
        <v>45299</v>
      </c>
      <c r="K115" s="14">
        <f t="shared" si="3"/>
        <v>1</v>
      </c>
      <c r="L115" s="13"/>
      <c r="M115" s="13"/>
    </row>
    <row r="116" spans="1:13" x14ac:dyDescent="0.25">
      <c r="A116" s="1" t="s">
        <v>370</v>
      </c>
      <c r="B116" s="1" t="s">
        <v>463</v>
      </c>
      <c r="C116" s="1" t="s">
        <v>464</v>
      </c>
      <c r="D116" s="1" t="s">
        <v>12</v>
      </c>
      <c r="E116" s="1" t="s">
        <v>465</v>
      </c>
      <c r="F116" s="1" t="s">
        <v>75</v>
      </c>
      <c r="G116" s="1" t="s">
        <v>23</v>
      </c>
      <c r="H116" s="1" t="s">
        <v>30</v>
      </c>
      <c r="I116" s="1">
        <v>0</v>
      </c>
      <c r="J116" s="12">
        <f t="shared" si="2"/>
        <v>45306</v>
      </c>
      <c r="K116" s="14">
        <f t="shared" si="3"/>
        <v>1</v>
      </c>
      <c r="L116" s="13"/>
      <c r="M116" s="13"/>
    </row>
    <row r="117" spans="1:13" x14ac:dyDescent="0.25">
      <c r="A117" s="1" t="s">
        <v>466</v>
      </c>
      <c r="B117" s="1" t="s">
        <v>467</v>
      </c>
      <c r="C117" s="1" t="s">
        <v>468</v>
      </c>
      <c r="D117" s="1" t="s">
        <v>12</v>
      </c>
      <c r="E117" s="1" t="s">
        <v>469</v>
      </c>
      <c r="F117" s="1" t="s">
        <v>29</v>
      </c>
      <c r="G117" s="1" t="s">
        <v>15</v>
      </c>
      <c r="H117" s="1" t="s">
        <v>55</v>
      </c>
      <c r="I117" s="1">
        <v>0</v>
      </c>
      <c r="J117" s="12">
        <f t="shared" si="2"/>
        <v>45322</v>
      </c>
      <c r="K117" s="14">
        <f t="shared" si="3"/>
        <v>1</v>
      </c>
      <c r="L117" s="13"/>
      <c r="M117" s="13"/>
    </row>
    <row r="118" spans="1:13" x14ac:dyDescent="0.25">
      <c r="A118" s="1" t="s">
        <v>470</v>
      </c>
      <c r="B118" s="1" t="s">
        <v>471</v>
      </c>
      <c r="C118" s="1" t="s">
        <v>472</v>
      </c>
      <c r="D118" s="1" t="s">
        <v>20</v>
      </c>
      <c r="E118" s="1" t="s">
        <v>473</v>
      </c>
      <c r="F118" s="1" t="s">
        <v>22</v>
      </c>
      <c r="G118" s="1" t="s">
        <v>35</v>
      </c>
      <c r="H118" s="1" t="s">
        <v>41</v>
      </c>
      <c r="I118" s="1">
        <v>0</v>
      </c>
      <c r="J118" s="12">
        <f t="shared" si="2"/>
        <v>45314</v>
      </c>
      <c r="K118" s="14">
        <f t="shared" si="3"/>
        <v>1</v>
      </c>
      <c r="L118" s="13"/>
      <c r="M118" s="13"/>
    </row>
    <row r="119" spans="1:13" x14ac:dyDescent="0.25">
      <c r="A119" s="1" t="s">
        <v>474</v>
      </c>
      <c r="B119" s="1" t="s">
        <v>475</v>
      </c>
      <c r="C119" s="1" t="s">
        <v>476</v>
      </c>
      <c r="D119" s="1" t="s">
        <v>20</v>
      </c>
      <c r="E119" s="1" t="s">
        <v>477</v>
      </c>
      <c r="F119" s="1" t="s">
        <v>14</v>
      </c>
      <c r="G119" s="1" t="s">
        <v>15</v>
      </c>
      <c r="H119" s="1" t="s">
        <v>16</v>
      </c>
      <c r="I119" s="1">
        <v>0</v>
      </c>
      <c r="J119" s="12">
        <f t="shared" si="2"/>
        <v>45295</v>
      </c>
      <c r="K119" s="14">
        <f t="shared" si="3"/>
        <v>1</v>
      </c>
      <c r="L119" s="13"/>
      <c r="M119" s="13"/>
    </row>
    <row r="120" spans="1:13" x14ac:dyDescent="0.25">
      <c r="A120" s="1" t="s">
        <v>478</v>
      </c>
      <c r="B120" s="1" t="s">
        <v>479</v>
      </c>
      <c r="C120" s="1" t="s">
        <v>480</v>
      </c>
      <c r="D120" s="1" t="s">
        <v>20</v>
      </c>
      <c r="E120" s="1" t="s">
        <v>481</v>
      </c>
      <c r="F120" s="1" t="s">
        <v>29</v>
      </c>
      <c r="G120" s="1" t="s">
        <v>23</v>
      </c>
      <c r="H120" s="1" t="s">
        <v>24</v>
      </c>
      <c r="I120" s="1">
        <v>0</v>
      </c>
      <c r="J120" s="12">
        <f t="shared" si="2"/>
        <v>45303</v>
      </c>
      <c r="K120" s="14">
        <f t="shared" si="3"/>
        <v>1</v>
      </c>
      <c r="L120" s="13"/>
      <c r="M120" s="13"/>
    </row>
    <row r="121" spans="1:13" x14ac:dyDescent="0.25">
      <c r="A121" s="1" t="s">
        <v>482</v>
      </c>
      <c r="B121" s="1" t="s">
        <v>483</v>
      </c>
      <c r="C121" s="1" t="s">
        <v>484</v>
      </c>
      <c r="D121" s="1" t="s">
        <v>45</v>
      </c>
      <c r="E121" s="1" t="s">
        <v>485</v>
      </c>
      <c r="F121" s="1" t="s">
        <v>40</v>
      </c>
      <c r="G121" s="1" t="s">
        <v>35</v>
      </c>
      <c r="H121" s="1" t="s">
        <v>16</v>
      </c>
      <c r="I121" s="1">
        <v>2891</v>
      </c>
      <c r="J121" s="12">
        <f t="shared" si="2"/>
        <v>45318</v>
      </c>
      <c r="K121" s="14">
        <f t="shared" si="3"/>
        <v>1</v>
      </c>
      <c r="L121" s="13"/>
      <c r="M121" s="13"/>
    </row>
    <row r="122" spans="1:13" x14ac:dyDescent="0.25">
      <c r="A122" s="1" t="s">
        <v>420</v>
      </c>
      <c r="B122" s="1" t="s">
        <v>486</v>
      </c>
      <c r="C122" s="1" t="s">
        <v>487</v>
      </c>
      <c r="D122" s="1" t="s">
        <v>12</v>
      </c>
      <c r="E122" s="1" t="s">
        <v>488</v>
      </c>
      <c r="F122" s="1" t="s">
        <v>22</v>
      </c>
      <c r="G122" s="1" t="s">
        <v>35</v>
      </c>
      <c r="H122" s="1" t="s">
        <v>30</v>
      </c>
      <c r="I122" s="1">
        <v>0</v>
      </c>
      <c r="J122" s="12">
        <f t="shared" si="2"/>
        <v>45305</v>
      </c>
      <c r="K122" s="14">
        <f t="shared" si="3"/>
        <v>1</v>
      </c>
      <c r="L122" s="13"/>
      <c r="M122" s="13"/>
    </row>
    <row r="123" spans="1:13" x14ac:dyDescent="0.25">
      <c r="A123" s="1" t="s">
        <v>489</v>
      </c>
      <c r="B123" s="1" t="s">
        <v>490</v>
      </c>
      <c r="C123" s="1" t="s">
        <v>491</v>
      </c>
      <c r="D123" s="1" t="s">
        <v>20</v>
      </c>
      <c r="E123" s="1" t="s">
        <v>205</v>
      </c>
      <c r="F123" s="1" t="s">
        <v>22</v>
      </c>
      <c r="G123" s="1" t="s">
        <v>35</v>
      </c>
      <c r="H123" s="1" t="s">
        <v>16</v>
      </c>
      <c r="I123" s="1">
        <v>0</v>
      </c>
      <c r="J123" s="12">
        <f t="shared" si="2"/>
        <v>45295</v>
      </c>
      <c r="K123" s="14">
        <f t="shared" si="3"/>
        <v>1</v>
      </c>
      <c r="L123" s="13"/>
      <c r="M123" s="13"/>
    </row>
    <row r="124" spans="1:13" x14ac:dyDescent="0.25">
      <c r="A124" s="1" t="s">
        <v>492</v>
      </c>
      <c r="B124" s="1" t="s">
        <v>493</v>
      </c>
      <c r="C124" s="1" t="s">
        <v>494</v>
      </c>
      <c r="D124" s="1" t="s">
        <v>45</v>
      </c>
      <c r="E124" s="1" t="s">
        <v>87</v>
      </c>
      <c r="F124" s="1" t="s">
        <v>29</v>
      </c>
      <c r="G124" s="1" t="s">
        <v>23</v>
      </c>
      <c r="H124" s="1" t="s">
        <v>55</v>
      </c>
      <c r="I124" s="1">
        <v>2741</v>
      </c>
      <c r="J124" s="12">
        <f t="shared" si="2"/>
        <v>45302</v>
      </c>
      <c r="K124" s="14">
        <f t="shared" si="3"/>
        <v>1</v>
      </c>
      <c r="L124" s="13"/>
      <c r="M124" s="13"/>
    </row>
    <row r="125" spans="1:13" x14ac:dyDescent="0.25">
      <c r="A125" s="1" t="s">
        <v>495</v>
      </c>
      <c r="B125" s="1" t="s">
        <v>496</v>
      </c>
      <c r="C125" s="1" t="s">
        <v>497</v>
      </c>
      <c r="D125" s="1" t="s">
        <v>45</v>
      </c>
      <c r="E125" s="1" t="s">
        <v>498</v>
      </c>
      <c r="F125" s="1" t="s">
        <v>14</v>
      </c>
      <c r="G125" s="1" t="s">
        <v>23</v>
      </c>
      <c r="H125" s="1" t="s">
        <v>41</v>
      </c>
      <c r="I125" s="1">
        <v>3112</v>
      </c>
      <c r="J125" s="12">
        <f t="shared" si="2"/>
        <v>45299</v>
      </c>
      <c r="K125" s="14">
        <f t="shared" si="3"/>
        <v>1</v>
      </c>
      <c r="L125" s="13"/>
      <c r="M125" s="13"/>
    </row>
    <row r="126" spans="1:13" x14ac:dyDescent="0.25">
      <c r="A126" s="1" t="s">
        <v>499</v>
      </c>
      <c r="B126" s="1" t="s">
        <v>500</v>
      </c>
      <c r="C126" s="1" t="s">
        <v>501</v>
      </c>
      <c r="D126" s="1" t="s">
        <v>45</v>
      </c>
      <c r="E126" s="1" t="s">
        <v>28</v>
      </c>
      <c r="F126" s="1" t="s">
        <v>75</v>
      </c>
      <c r="G126" s="1" t="s">
        <v>23</v>
      </c>
      <c r="H126" s="1" t="s">
        <v>41</v>
      </c>
      <c r="I126" s="1">
        <v>2865</v>
      </c>
      <c r="J126" s="12">
        <f t="shared" si="2"/>
        <v>45294</v>
      </c>
      <c r="K126" s="14">
        <f t="shared" si="3"/>
        <v>1</v>
      </c>
      <c r="L126" s="13"/>
      <c r="M126" s="13"/>
    </row>
    <row r="127" spans="1:13" x14ac:dyDescent="0.25">
      <c r="A127" s="1" t="s">
        <v>502</v>
      </c>
      <c r="B127" s="1" t="s">
        <v>503</v>
      </c>
      <c r="C127" s="1" t="s">
        <v>504</v>
      </c>
      <c r="D127" s="1" t="s">
        <v>45</v>
      </c>
      <c r="E127" s="1" t="s">
        <v>505</v>
      </c>
      <c r="F127" s="1" t="s">
        <v>29</v>
      </c>
      <c r="G127" s="1" t="s">
        <v>15</v>
      </c>
      <c r="H127" s="1" t="s">
        <v>24</v>
      </c>
      <c r="I127" s="1">
        <v>1041</v>
      </c>
      <c r="J127" s="12">
        <f t="shared" si="2"/>
        <v>45294</v>
      </c>
      <c r="K127" s="14">
        <f t="shared" si="3"/>
        <v>1</v>
      </c>
      <c r="L127" s="13"/>
      <c r="M127" s="13"/>
    </row>
    <row r="128" spans="1:13" x14ac:dyDescent="0.25">
      <c r="A128" s="1" t="s">
        <v>506</v>
      </c>
      <c r="B128" s="1" t="s">
        <v>507</v>
      </c>
      <c r="C128" s="1" t="s">
        <v>508</v>
      </c>
      <c r="D128" s="1" t="s">
        <v>45</v>
      </c>
      <c r="E128" s="1" t="s">
        <v>509</v>
      </c>
      <c r="F128" s="1" t="s">
        <v>14</v>
      </c>
      <c r="G128" s="1" t="s">
        <v>23</v>
      </c>
      <c r="H128" s="1" t="s">
        <v>30</v>
      </c>
      <c r="I128" s="1">
        <v>2148</v>
      </c>
      <c r="J128" s="12">
        <f t="shared" si="2"/>
        <v>45307</v>
      </c>
      <c r="K128" s="14">
        <f t="shared" si="3"/>
        <v>1</v>
      </c>
      <c r="L128" s="13"/>
      <c r="M128" s="13"/>
    </row>
    <row r="129" spans="1:13" x14ac:dyDescent="0.25">
      <c r="A129" s="1" t="s">
        <v>510</v>
      </c>
      <c r="B129" s="1" t="s">
        <v>511</v>
      </c>
      <c r="C129" s="1" t="s">
        <v>512</v>
      </c>
      <c r="D129" s="1" t="s">
        <v>20</v>
      </c>
      <c r="E129" s="1" t="s">
        <v>513</v>
      </c>
      <c r="F129" s="1" t="s">
        <v>75</v>
      </c>
      <c r="G129" s="1" t="s">
        <v>35</v>
      </c>
      <c r="H129" s="1" t="s">
        <v>55</v>
      </c>
      <c r="I129" s="1">
        <v>0</v>
      </c>
      <c r="J129" s="12">
        <f t="shared" si="2"/>
        <v>45302</v>
      </c>
      <c r="K129" s="14">
        <f t="shared" si="3"/>
        <v>1</v>
      </c>
      <c r="L129" s="13"/>
      <c r="M129" s="13"/>
    </row>
    <row r="130" spans="1:13" x14ac:dyDescent="0.25">
      <c r="A130" s="1" t="s">
        <v>482</v>
      </c>
      <c r="B130" s="1" t="s">
        <v>514</v>
      </c>
      <c r="C130" s="1" t="s">
        <v>515</v>
      </c>
      <c r="D130" s="1" t="s">
        <v>12</v>
      </c>
      <c r="E130" s="1" t="s">
        <v>516</v>
      </c>
      <c r="F130" s="1" t="s">
        <v>40</v>
      </c>
      <c r="G130" s="1" t="s">
        <v>15</v>
      </c>
      <c r="H130" s="1" t="s">
        <v>55</v>
      </c>
      <c r="I130" s="1">
        <v>0</v>
      </c>
      <c r="J130" s="12">
        <f t="shared" si="2"/>
        <v>45302</v>
      </c>
      <c r="K130" s="14">
        <f t="shared" si="3"/>
        <v>1</v>
      </c>
      <c r="L130" s="13"/>
      <c r="M130" s="13"/>
    </row>
    <row r="131" spans="1:13" x14ac:dyDescent="0.25">
      <c r="A131" s="1" t="s">
        <v>517</v>
      </c>
      <c r="B131" s="1" t="s">
        <v>518</v>
      </c>
      <c r="C131" s="1" t="s">
        <v>519</v>
      </c>
      <c r="D131" s="1" t="s">
        <v>20</v>
      </c>
      <c r="E131" s="1" t="s">
        <v>95</v>
      </c>
      <c r="F131" s="1" t="s">
        <v>14</v>
      </c>
      <c r="G131" s="1" t="s">
        <v>15</v>
      </c>
      <c r="H131" s="1" t="s">
        <v>41</v>
      </c>
      <c r="I131" s="1">
        <v>0</v>
      </c>
      <c r="J131" s="12">
        <f t="shared" si="2"/>
        <v>45293</v>
      </c>
      <c r="K131" s="14">
        <f t="shared" si="3"/>
        <v>1</v>
      </c>
      <c r="L131" s="13"/>
      <c r="M131" s="13"/>
    </row>
    <row r="132" spans="1:13" x14ac:dyDescent="0.25">
      <c r="A132" s="1" t="s">
        <v>520</v>
      </c>
      <c r="B132" s="1" t="s">
        <v>521</v>
      </c>
      <c r="C132" s="1" t="s">
        <v>522</v>
      </c>
      <c r="D132" s="1" t="s">
        <v>45</v>
      </c>
      <c r="E132" s="1" t="s">
        <v>523</v>
      </c>
      <c r="F132" s="1" t="s">
        <v>14</v>
      </c>
      <c r="G132" s="1" t="s">
        <v>23</v>
      </c>
      <c r="H132" s="1" t="s">
        <v>41</v>
      </c>
      <c r="I132" s="1">
        <v>2814</v>
      </c>
      <c r="J132" s="12">
        <f t="shared" ref="J132:J195" si="4">INT(C132)</f>
        <v>45296</v>
      </c>
      <c r="K132" s="14">
        <f t="shared" ref="K132:K195" si="5">MONTH(C132)</f>
        <v>1</v>
      </c>
      <c r="L132" s="13"/>
      <c r="M132" s="13"/>
    </row>
    <row r="133" spans="1:13" x14ac:dyDescent="0.25">
      <c r="A133" s="1" t="s">
        <v>524</v>
      </c>
      <c r="B133" s="1" t="s">
        <v>525</v>
      </c>
      <c r="C133" s="1" t="s">
        <v>526</v>
      </c>
      <c r="D133" s="1" t="s">
        <v>12</v>
      </c>
      <c r="E133" s="1" t="s">
        <v>527</v>
      </c>
      <c r="F133" s="1" t="s">
        <v>40</v>
      </c>
      <c r="G133" s="1" t="s">
        <v>23</v>
      </c>
      <c r="H133" s="1" t="s">
        <v>16</v>
      </c>
      <c r="I133" s="1">
        <v>0</v>
      </c>
      <c r="J133" s="12">
        <f t="shared" si="4"/>
        <v>45293</v>
      </c>
      <c r="K133" s="14">
        <f t="shared" si="5"/>
        <v>1</v>
      </c>
      <c r="L133" s="13"/>
      <c r="M133" s="13"/>
    </row>
    <row r="134" spans="1:13" x14ac:dyDescent="0.25">
      <c r="A134" s="1" t="s">
        <v>528</v>
      </c>
      <c r="B134" s="1" t="s">
        <v>529</v>
      </c>
      <c r="C134" s="1" t="s">
        <v>530</v>
      </c>
      <c r="D134" s="1" t="s">
        <v>12</v>
      </c>
      <c r="E134" s="1" t="s">
        <v>531</v>
      </c>
      <c r="F134" s="1" t="s">
        <v>75</v>
      </c>
      <c r="G134" s="1" t="s">
        <v>15</v>
      </c>
      <c r="H134" s="1" t="s">
        <v>16</v>
      </c>
      <c r="I134" s="1">
        <v>0</v>
      </c>
      <c r="J134" s="12">
        <f t="shared" si="4"/>
        <v>45301</v>
      </c>
      <c r="K134" s="14">
        <f t="shared" si="5"/>
        <v>1</v>
      </c>
      <c r="L134" s="13"/>
      <c r="M134" s="13"/>
    </row>
    <row r="135" spans="1:13" x14ac:dyDescent="0.25">
      <c r="A135" s="1" t="s">
        <v>210</v>
      </c>
      <c r="B135" s="1" t="s">
        <v>532</v>
      </c>
      <c r="C135" s="1" t="s">
        <v>533</v>
      </c>
      <c r="D135" s="1" t="s">
        <v>20</v>
      </c>
      <c r="E135" s="1" t="s">
        <v>534</v>
      </c>
      <c r="F135" s="1" t="s">
        <v>22</v>
      </c>
      <c r="G135" s="1" t="s">
        <v>15</v>
      </c>
      <c r="H135" s="1" t="s">
        <v>55</v>
      </c>
      <c r="I135" s="1">
        <v>0</v>
      </c>
      <c r="J135" s="12">
        <f t="shared" si="4"/>
        <v>45306</v>
      </c>
      <c r="K135" s="14">
        <f t="shared" si="5"/>
        <v>1</v>
      </c>
      <c r="L135" s="13"/>
      <c r="M135" s="13"/>
    </row>
    <row r="136" spans="1:13" x14ac:dyDescent="0.25">
      <c r="A136" s="1" t="s">
        <v>535</v>
      </c>
      <c r="B136" s="1" t="s">
        <v>536</v>
      </c>
      <c r="C136" s="1" t="s">
        <v>512</v>
      </c>
      <c r="D136" s="1" t="s">
        <v>45</v>
      </c>
      <c r="E136" s="1" t="s">
        <v>537</v>
      </c>
      <c r="F136" s="1" t="s">
        <v>75</v>
      </c>
      <c r="G136" s="1" t="s">
        <v>15</v>
      </c>
      <c r="H136" s="1" t="s">
        <v>41</v>
      </c>
      <c r="I136" s="1">
        <v>4554</v>
      </c>
      <c r="J136" s="12">
        <f t="shared" si="4"/>
        <v>45302</v>
      </c>
      <c r="K136" s="14">
        <f t="shared" si="5"/>
        <v>1</v>
      </c>
      <c r="L136" s="13"/>
      <c r="M136" s="13"/>
    </row>
    <row r="137" spans="1:13" x14ac:dyDescent="0.25">
      <c r="A137" s="1" t="s">
        <v>538</v>
      </c>
      <c r="B137" s="1" t="s">
        <v>539</v>
      </c>
      <c r="C137" s="1" t="s">
        <v>540</v>
      </c>
      <c r="D137" s="1" t="s">
        <v>20</v>
      </c>
      <c r="E137" s="1" t="s">
        <v>541</v>
      </c>
      <c r="F137" s="1" t="s">
        <v>75</v>
      </c>
      <c r="G137" s="1" t="s">
        <v>35</v>
      </c>
      <c r="H137" s="1" t="s">
        <v>16</v>
      </c>
      <c r="I137" s="1">
        <v>0</v>
      </c>
      <c r="J137" s="12">
        <f t="shared" si="4"/>
        <v>45304</v>
      </c>
      <c r="K137" s="14">
        <f t="shared" si="5"/>
        <v>1</v>
      </c>
      <c r="L137" s="13"/>
      <c r="M137" s="13"/>
    </row>
    <row r="138" spans="1:13" x14ac:dyDescent="0.25">
      <c r="A138" s="1" t="s">
        <v>542</v>
      </c>
      <c r="B138" s="1" t="s">
        <v>543</v>
      </c>
      <c r="C138" s="1" t="s">
        <v>544</v>
      </c>
      <c r="D138" s="1" t="s">
        <v>20</v>
      </c>
      <c r="E138" s="1" t="s">
        <v>545</v>
      </c>
      <c r="F138" s="1" t="s">
        <v>29</v>
      </c>
      <c r="G138" s="1" t="s">
        <v>15</v>
      </c>
      <c r="H138" s="1" t="s">
        <v>55</v>
      </c>
      <c r="I138" s="1">
        <v>0</v>
      </c>
      <c r="J138" s="12">
        <f t="shared" si="4"/>
        <v>45325</v>
      </c>
      <c r="K138" s="14">
        <f t="shared" si="5"/>
        <v>2</v>
      </c>
      <c r="L138" s="13"/>
      <c r="M138" s="13"/>
    </row>
    <row r="139" spans="1:13" x14ac:dyDescent="0.25">
      <c r="A139" s="1" t="s">
        <v>546</v>
      </c>
      <c r="B139" s="1" t="s">
        <v>547</v>
      </c>
      <c r="C139" s="1" t="s">
        <v>548</v>
      </c>
      <c r="D139" s="1" t="s">
        <v>45</v>
      </c>
      <c r="E139" s="1" t="s">
        <v>549</v>
      </c>
      <c r="F139" s="1" t="s">
        <v>40</v>
      </c>
      <c r="G139" s="1" t="s">
        <v>23</v>
      </c>
      <c r="H139" s="1" t="s">
        <v>16</v>
      </c>
      <c r="I139" s="1">
        <v>4594</v>
      </c>
      <c r="J139" s="12">
        <f t="shared" si="4"/>
        <v>45312</v>
      </c>
      <c r="K139" s="14">
        <f t="shared" si="5"/>
        <v>1</v>
      </c>
      <c r="L139" s="13"/>
      <c r="M139" s="13"/>
    </row>
    <row r="140" spans="1:13" x14ac:dyDescent="0.25">
      <c r="A140" s="1" t="s">
        <v>550</v>
      </c>
      <c r="B140" s="1" t="s">
        <v>551</v>
      </c>
      <c r="C140" s="1" t="s">
        <v>552</v>
      </c>
      <c r="D140" s="1" t="s">
        <v>12</v>
      </c>
      <c r="E140" s="1" t="s">
        <v>553</v>
      </c>
      <c r="F140" s="1" t="s">
        <v>75</v>
      </c>
      <c r="G140" s="1" t="s">
        <v>35</v>
      </c>
      <c r="H140" s="1" t="s">
        <v>41</v>
      </c>
      <c r="I140" s="1">
        <v>0</v>
      </c>
      <c r="J140" s="12">
        <f t="shared" si="4"/>
        <v>45315</v>
      </c>
      <c r="K140" s="14">
        <f t="shared" si="5"/>
        <v>1</v>
      </c>
      <c r="L140" s="13"/>
      <c r="M140" s="13"/>
    </row>
    <row r="141" spans="1:13" x14ac:dyDescent="0.25">
      <c r="A141" s="1" t="s">
        <v>554</v>
      </c>
      <c r="B141" s="1" t="s">
        <v>555</v>
      </c>
      <c r="C141" s="1" t="s">
        <v>556</v>
      </c>
      <c r="D141" s="1" t="s">
        <v>12</v>
      </c>
      <c r="E141" s="1" t="s">
        <v>28</v>
      </c>
      <c r="F141" s="1" t="s">
        <v>29</v>
      </c>
      <c r="G141" s="1" t="s">
        <v>23</v>
      </c>
      <c r="H141" s="1" t="s">
        <v>55</v>
      </c>
      <c r="I141" s="1">
        <v>0</v>
      </c>
      <c r="J141" s="12">
        <f t="shared" si="4"/>
        <v>45316</v>
      </c>
      <c r="K141" s="14">
        <f t="shared" si="5"/>
        <v>1</v>
      </c>
      <c r="L141" s="13"/>
      <c r="M141" s="13"/>
    </row>
    <row r="142" spans="1:13" x14ac:dyDescent="0.25">
      <c r="A142" s="1" t="s">
        <v>557</v>
      </c>
      <c r="B142" s="1" t="s">
        <v>558</v>
      </c>
      <c r="C142" s="1" t="s">
        <v>559</v>
      </c>
      <c r="D142" s="1" t="s">
        <v>12</v>
      </c>
      <c r="E142" s="1" t="s">
        <v>560</v>
      </c>
      <c r="F142" s="1" t="s">
        <v>75</v>
      </c>
      <c r="G142" s="1" t="s">
        <v>35</v>
      </c>
      <c r="H142" s="1" t="s">
        <v>41</v>
      </c>
      <c r="I142" s="1">
        <v>0</v>
      </c>
      <c r="J142" s="12">
        <f t="shared" si="4"/>
        <v>45299</v>
      </c>
      <c r="K142" s="14">
        <f t="shared" si="5"/>
        <v>1</v>
      </c>
      <c r="L142" s="13"/>
      <c r="M142" s="13"/>
    </row>
    <row r="143" spans="1:13" x14ac:dyDescent="0.25">
      <c r="A143" s="1" t="s">
        <v>561</v>
      </c>
      <c r="B143" s="1" t="s">
        <v>562</v>
      </c>
      <c r="C143" s="1" t="s">
        <v>563</v>
      </c>
      <c r="D143" s="1" t="s">
        <v>20</v>
      </c>
      <c r="E143" s="1" t="s">
        <v>564</v>
      </c>
      <c r="F143" s="1" t="s">
        <v>40</v>
      </c>
      <c r="G143" s="1" t="s">
        <v>23</v>
      </c>
      <c r="H143" s="1" t="s">
        <v>24</v>
      </c>
      <c r="I143" s="1">
        <v>0</v>
      </c>
      <c r="J143" s="12">
        <f t="shared" si="4"/>
        <v>45313</v>
      </c>
      <c r="K143" s="14">
        <f t="shared" si="5"/>
        <v>1</v>
      </c>
      <c r="L143" s="13"/>
      <c r="M143" s="13"/>
    </row>
    <row r="144" spans="1:13" x14ac:dyDescent="0.25">
      <c r="A144" s="1" t="s">
        <v>455</v>
      </c>
      <c r="B144" s="1" t="s">
        <v>565</v>
      </c>
      <c r="C144" s="1" t="s">
        <v>566</v>
      </c>
      <c r="D144" s="1" t="s">
        <v>20</v>
      </c>
      <c r="E144" s="1" t="s">
        <v>162</v>
      </c>
      <c r="F144" s="1" t="s">
        <v>22</v>
      </c>
      <c r="G144" s="1" t="s">
        <v>23</v>
      </c>
      <c r="H144" s="1" t="s">
        <v>24</v>
      </c>
      <c r="I144" s="1">
        <v>0</v>
      </c>
      <c r="J144" s="12">
        <f t="shared" si="4"/>
        <v>45296</v>
      </c>
      <c r="K144" s="14">
        <f t="shared" si="5"/>
        <v>1</v>
      </c>
      <c r="L144" s="13"/>
      <c r="M144" s="13"/>
    </row>
    <row r="145" spans="1:13" x14ac:dyDescent="0.25">
      <c r="A145" s="1" t="s">
        <v>567</v>
      </c>
      <c r="B145" s="1" t="s">
        <v>568</v>
      </c>
      <c r="C145" s="1" t="s">
        <v>569</v>
      </c>
      <c r="D145" s="1" t="s">
        <v>45</v>
      </c>
      <c r="E145" s="1" t="s">
        <v>570</v>
      </c>
      <c r="F145" s="1" t="s">
        <v>29</v>
      </c>
      <c r="G145" s="1" t="s">
        <v>35</v>
      </c>
      <c r="H145" s="1" t="s">
        <v>16</v>
      </c>
      <c r="I145" s="1">
        <v>3180</v>
      </c>
      <c r="J145" s="12">
        <f t="shared" si="4"/>
        <v>45308</v>
      </c>
      <c r="K145" s="14">
        <f t="shared" si="5"/>
        <v>1</v>
      </c>
      <c r="L145" s="13"/>
      <c r="M145" s="13"/>
    </row>
    <row r="146" spans="1:13" x14ac:dyDescent="0.25">
      <c r="A146" s="1" t="s">
        <v>571</v>
      </c>
      <c r="B146" s="1" t="s">
        <v>572</v>
      </c>
      <c r="C146" s="1" t="s">
        <v>573</v>
      </c>
      <c r="D146" s="1" t="s">
        <v>20</v>
      </c>
      <c r="E146" s="1" t="s">
        <v>574</v>
      </c>
      <c r="F146" s="1" t="s">
        <v>29</v>
      </c>
      <c r="G146" s="1" t="s">
        <v>15</v>
      </c>
      <c r="H146" s="1" t="s">
        <v>55</v>
      </c>
      <c r="I146" s="1">
        <v>0</v>
      </c>
      <c r="J146" s="12">
        <f t="shared" si="4"/>
        <v>45323</v>
      </c>
      <c r="K146" s="14">
        <f t="shared" si="5"/>
        <v>2</v>
      </c>
      <c r="L146" s="13"/>
      <c r="M146" s="13"/>
    </row>
    <row r="147" spans="1:13" x14ac:dyDescent="0.25">
      <c r="A147" s="1" t="s">
        <v>575</v>
      </c>
      <c r="B147" s="1" t="s">
        <v>427</v>
      </c>
      <c r="C147" s="1" t="s">
        <v>576</v>
      </c>
      <c r="D147" s="1" t="s">
        <v>45</v>
      </c>
      <c r="E147" s="1" t="s">
        <v>577</v>
      </c>
      <c r="F147" s="1" t="s">
        <v>29</v>
      </c>
      <c r="G147" s="1" t="s">
        <v>23</v>
      </c>
      <c r="H147" s="1" t="s">
        <v>30</v>
      </c>
      <c r="I147" s="1">
        <v>4685</v>
      </c>
      <c r="J147" s="12">
        <f t="shared" si="4"/>
        <v>45309</v>
      </c>
      <c r="K147" s="14">
        <f t="shared" si="5"/>
        <v>1</v>
      </c>
      <c r="L147" s="13"/>
      <c r="M147" s="13"/>
    </row>
    <row r="148" spans="1:13" x14ac:dyDescent="0.25">
      <c r="A148" s="1" t="s">
        <v>578</v>
      </c>
      <c r="B148" s="1" t="s">
        <v>579</v>
      </c>
      <c r="C148" s="1" t="s">
        <v>580</v>
      </c>
      <c r="D148" s="1" t="s">
        <v>20</v>
      </c>
      <c r="E148" s="1" t="s">
        <v>581</v>
      </c>
      <c r="F148" s="1" t="s">
        <v>22</v>
      </c>
      <c r="G148" s="1" t="s">
        <v>35</v>
      </c>
      <c r="H148" s="1" t="s">
        <v>55</v>
      </c>
      <c r="I148" s="1">
        <v>0</v>
      </c>
      <c r="J148" s="12">
        <f t="shared" si="4"/>
        <v>45300</v>
      </c>
      <c r="K148" s="14">
        <f t="shared" si="5"/>
        <v>1</v>
      </c>
      <c r="L148" s="13"/>
      <c r="M148" s="13"/>
    </row>
    <row r="149" spans="1:13" x14ac:dyDescent="0.25">
      <c r="A149" s="1" t="s">
        <v>582</v>
      </c>
      <c r="B149" s="1" t="s">
        <v>583</v>
      </c>
      <c r="C149" s="1" t="s">
        <v>584</v>
      </c>
      <c r="D149" s="1" t="s">
        <v>20</v>
      </c>
      <c r="E149" s="1" t="s">
        <v>585</v>
      </c>
      <c r="F149" s="1" t="s">
        <v>22</v>
      </c>
      <c r="G149" s="1" t="s">
        <v>35</v>
      </c>
      <c r="H149" s="1" t="s">
        <v>24</v>
      </c>
      <c r="I149" s="1">
        <v>0</v>
      </c>
      <c r="J149" s="12">
        <f t="shared" si="4"/>
        <v>45310</v>
      </c>
      <c r="K149" s="14">
        <f t="shared" si="5"/>
        <v>1</v>
      </c>
      <c r="L149" s="13"/>
      <c r="M149" s="13"/>
    </row>
    <row r="150" spans="1:13" x14ac:dyDescent="0.25">
      <c r="A150" s="1" t="s">
        <v>586</v>
      </c>
      <c r="B150" s="1" t="s">
        <v>587</v>
      </c>
      <c r="C150" s="1" t="s">
        <v>588</v>
      </c>
      <c r="D150" s="1" t="s">
        <v>20</v>
      </c>
      <c r="E150" s="1" t="s">
        <v>589</v>
      </c>
      <c r="F150" s="1" t="s">
        <v>14</v>
      </c>
      <c r="G150" s="1" t="s">
        <v>15</v>
      </c>
      <c r="H150" s="1" t="s">
        <v>41</v>
      </c>
      <c r="I150" s="1">
        <v>0</v>
      </c>
      <c r="J150" s="12">
        <f t="shared" si="4"/>
        <v>45299</v>
      </c>
      <c r="K150" s="14">
        <f t="shared" si="5"/>
        <v>1</v>
      </c>
      <c r="L150" s="13"/>
      <c r="M150" s="13"/>
    </row>
    <row r="151" spans="1:13" x14ac:dyDescent="0.25">
      <c r="A151" s="1" t="s">
        <v>590</v>
      </c>
      <c r="B151" s="1" t="s">
        <v>591</v>
      </c>
      <c r="C151" s="1" t="s">
        <v>592</v>
      </c>
      <c r="D151" s="1" t="s">
        <v>12</v>
      </c>
      <c r="E151" s="1" t="s">
        <v>593</v>
      </c>
      <c r="F151" s="1" t="s">
        <v>29</v>
      </c>
      <c r="G151" s="1" t="s">
        <v>23</v>
      </c>
      <c r="H151" s="1" t="s">
        <v>24</v>
      </c>
      <c r="I151" s="1">
        <v>0</v>
      </c>
      <c r="J151" s="12">
        <f t="shared" si="4"/>
        <v>45325</v>
      </c>
      <c r="K151" s="14">
        <f t="shared" si="5"/>
        <v>2</v>
      </c>
      <c r="L151" s="13"/>
      <c r="M151" s="13"/>
    </row>
    <row r="152" spans="1:13" x14ac:dyDescent="0.25">
      <c r="A152" s="1" t="s">
        <v>594</v>
      </c>
      <c r="B152" s="1" t="s">
        <v>595</v>
      </c>
      <c r="C152" s="1" t="s">
        <v>596</v>
      </c>
      <c r="D152" s="1" t="s">
        <v>12</v>
      </c>
      <c r="E152" s="1" t="s">
        <v>597</v>
      </c>
      <c r="F152" s="1" t="s">
        <v>29</v>
      </c>
      <c r="G152" s="1" t="s">
        <v>35</v>
      </c>
      <c r="H152" s="1" t="s">
        <v>55</v>
      </c>
      <c r="I152" s="1">
        <v>0</v>
      </c>
      <c r="J152" s="12">
        <f t="shared" si="4"/>
        <v>45298</v>
      </c>
      <c r="K152" s="14">
        <f t="shared" si="5"/>
        <v>1</v>
      </c>
      <c r="L152" s="13"/>
      <c r="M152" s="13"/>
    </row>
    <row r="153" spans="1:13" x14ac:dyDescent="0.25">
      <c r="A153" s="1" t="s">
        <v>598</v>
      </c>
      <c r="B153" s="1" t="s">
        <v>599</v>
      </c>
      <c r="C153" s="1" t="s">
        <v>600</v>
      </c>
      <c r="D153" s="1" t="s">
        <v>20</v>
      </c>
      <c r="E153" s="1" t="s">
        <v>601</v>
      </c>
      <c r="F153" s="1" t="s">
        <v>75</v>
      </c>
      <c r="G153" s="1" t="s">
        <v>23</v>
      </c>
      <c r="H153" s="1" t="s">
        <v>41</v>
      </c>
      <c r="I153" s="1">
        <v>0</v>
      </c>
      <c r="J153" s="12">
        <f t="shared" si="4"/>
        <v>45305</v>
      </c>
      <c r="K153" s="14">
        <f t="shared" si="5"/>
        <v>1</v>
      </c>
      <c r="L153" s="13"/>
      <c r="M153" s="13"/>
    </row>
    <row r="154" spans="1:13" x14ac:dyDescent="0.25">
      <c r="A154" s="1" t="s">
        <v>602</v>
      </c>
      <c r="B154" s="1" t="s">
        <v>603</v>
      </c>
      <c r="C154" s="1" t="s">
        <v>604</v>
      </c>
      <c r="D154" s="1" t="s">
        <v>45</v>
      </c>
      <c r="E154" s="1" t="s">
        <v>605</v>
      </c>
      <c r="F154" s="1" t="s">
        <v>14</v>
      </c>
      <c r="G154" s="1" t="s">
        <v>23</v>
      </c>
      <c r="H154" s="1" t="s">
        <v>55</v>
      </c>
      <c r="I154" s="1">
        <v>4827</v>
      </c>
      <c r="J154" s="12">
        <f t="shared" si="4"/>
        <v>45313</v>
      </c>
      <c r="K154" s="14">
        <f t="shared" si="5"/>
        <v>1</v>
      </c>
      <c r="L154" s="13"/>
      <c r="M154" s="13"/>
    </row>
    <row r="155" spans="1:13" x14ac:dyDescent="0.25">
      <c r="A155" s="1" t="s">
        <v>492</v>
      </c>
      <c r="B155" s="1" t="s">
        <v>606</v>
      </c>
      <c r="C155" s="1" t="s">
        <v>607</v>
      </c>
      <c r="D155" s="1" t="s">
        <v>12</v>
      </c>
      <c r="E155" s="1" t="s">
        <v>608</v>
      </c>
      <c r="F155" s="1" t="s">
        <v>75</v>
      </c>
      <c r="G155" s="1" t="s">
        <v>23</v>
      </c>
      <c r="H155" s="1" t="s">
        <v>30</v>
      </c>
      <c r="I155" s="1">
        <v>0</v>
      </c>
      <c r="J155" s="12">
        <f t="shared" si="4"/>
        <v>45314</v>
      </c>
      <c r="K155" s="14">
        <f t="shared" si="5"/>
        <v>1</v>
      </c>
      <c r="L155" s="13"/>
      <c r="M155" s="13"/>
    </row>
    <row r="156" spans="1:13" x14ac:dyDescent="0.25">
      <c r="A156" s="1" t="s">
        <v>535</v>
      </c>
      <c r="B156" s="1" t="s">
        <v>609</v>
      </c>
      <c r="C156" s="1" t="s">
        <v>610</v>
      </c>
      <c r="D156" s="1" t="s">
        <v>20</v>
      </c>
      <c r="E156" s="1" t="s">
        <v>611</v>
      </c>
      <c r="F156" s="1" t="s">
        <v>14</v>
      </c>
      <c r="G156" s="1" t="s">
        <v>15</v>
      </c>
      <c r="H156" s="1" t="s">
        <v>24</v>
      </c>
      <c r="I156" s="1">
        <v>0</v>
      </c>
      <c r="J156" s="12">
        <f t="shared" si="4"/>
        <v>45301</v>
      </c>
      <c r="K156" s="14">
        <f t="shared" si="5"/>
        <v>1</v>
      </c>
      <c r="L156" s="13"/>
      <c r="M156" s="13"/>
    </row>
    <row r="157" spans="1:13" x14ac:dyDescent="0.25">
      <c r="A157" s="1" t="s">
        <v>612</v>
      </c>
      <c r="B157" s="1" t="s">
        <v>613</v>
      </c>
      <c r="C157" s="1" t="s">
        <v>614</v>
      </c>
      <c r="D157" s="1" t="s">
        <v>45</v>
      </c>
      <c r="E157" s="1" t="s">
        <v>615</v>
      </c>
      <c r="F157" s="1" t="s">
        <v>40</v>
      </c>
      <c r="G157" s="1" t="s">
        <v>23</v>
      </c>
      <c r="H157" s="1" t="s">
        <v>30</v>
      </c>
      <c r="I157" s="1">
        <v>1534</v>
      </c>
      <c r="J157" s="12">
        <f t="shared" si="4"/>
        <v>45310</v>
      </c>
      <c r="K157" s="14">
        <f t="shared" si="5"/>
        <v>1</v>
      </c>
      <c r="L157" s="13"/>
      <c r="M157" s="13"/>
    </row>
    <row r="158" spans="1:13" x14ac:dyDescent="0.25">
      <c r="A158" s="1" t="s">
        <v>616</v>
      </c>
      <c r="B158" s="1" t="s">
        <v>617</v>
      </c>
      <c r="C158" s="1" t="s">
        <v>618</v>
      </c>
      <c r="D158" s="1" t="s">
        <v>12</v>
      </c>
      <c r="E158" s="1" t="s">
        <v>619</v>
      </c>
      <c r="F158" s="1" t="s">
        <v>29</v>
      </c>
      <c r="G158" s="1" t="s">
        <v>15</v>
      </c>
      <c r="H158" s="1" t="s">
        <v>30</v>
      </c>
      <c r="I158" s="1">
        <v>0</v>
      </c>
      <c r="J158" s="12">
        <f t="shared" si="4"/>
        <v>45293</v>
      </c>
      <c r="K158" s="14">
        <f t="shared" si="5"/>
        <v>1</v>
      </c>
      <c r="L158" s="13"/>
      <c r="M158" s="13"/>
    </row>
    <row r="159" spans="1:13" x14ac:dyDescent="0.25">
      <c r="A159" s="1" t="s">
        <v>620</v>
      </c>
      <c r="B159" s="1" t="s">
        <v>621</v>
      </c>
      <c r="C159" s="1" t="s">
        <v>622</v>
      </c>
      <c r="D159" s="1" t="s">
        <v>20</v>
      </c>
      <c r="E159" s="1" t="s">
        <v>462</v>
      </c>
      <c r="F159" s="1" t="s">
        <v>14</v>
      </c>
      <c r="G159" s="1" t="s">
        <v>15</v>
      </c>
      <c r="H159" s="1" t="s">
        <v>55</v>
      </c>
      <c r="I159" s="1">
        <v>0</v>
      </c>
      <c r="J159" s="12">
        <f t="shared" si="4"/>
        <v>45302</v>
      </c>
      <c r="K159" s="14">
        <f t="shared" si="5"/>
        <v>1</v>
      </c>
      <c r="L159" s="13"/>
      <c r="M159" s="13"/>
    </row>
    <row r="160" spans="1:13" x14ac:dyDescent="0.25">
      <c r="A160" s="1" t="s">
        <v>244</v>
      </c>
      <c r="B160" s="1" t="s">
        <v>623</v>
      </c>
      <c r="C160" s="1" t="s">
        <v>624</v>
      </c>
      <c r="D160" s="1" t="s">
        <v>12</v>
      </c>
      <c r="E160" s="1" t="s">
        <v>625</v>
      </c>
      <c r="F160" s="1" t="s">
        <v>40</v>
      </c>
      <c r="G160" s="1" t="s">
        <v>35</v>
      </c>
      <c r="H160" s="1" t="s">
        <v>41</v>
      </c>
      <c r="I160" s="1">
        <v>0</v>
      </c>
      <c r="J160" s="12">
        <f t="shared" si="4"/>
        <v>45297</v>
      </c>
      <c r="K160" s="14">
        <f t="shared" si="5"/>
        <v>1</v>
      </c>
      <c r="L160" s="13"/>
      <c r="M160" s="13"/>
    </row>
    <row r="161" spans="1:13" x14ac:dyDescent="0.25">
      <c r="A161" s="1" t="s">
        <v>626</v>
      </c>
      <c r="B161" s="1" t="s">
        <v>627</v>
      </c>
      <c r="C161" s="1" t="s">
        <v>628</v>
      </c>
      <c r="D161" s="1" t="s">
        <v>12</v>
      </c>
      <c r="E161" s="1" t="s">
        <v>629</v>
      </c>
      <c r="F161" s="1" t="s">
        <v>14</v>
      </c>
      <c r="G161" s="1" t="s">
        <v>23</v>
      </c>
      <c r="H161" s="1" t="s">
        <v>41</v>
      </c>
      <c r="I161" s="1">
        <v>0</v>
      </c>
      <c r="J161" s="12">
        <f t="shared" si="4"/>
        <v>45312</v>
      </c>
      <c r="K161" s="14">
        <f t="shared" si="5"/>
        <v>1</v>
      </c>
      <c r="L161" s="13"/>
      <c r="M161" s="13"/>
    </row>
    <row r="162" spans="1:13" x14ac:dyDescent="0.25">
      <c r="A162" s="1" t="s">
        <v>455</v>
      </c>
      <c r="B162" s="1" t="s">
        <v>630</v>
      </c>
      <c r="C162" s="1" t="s">
        <v>631</v>
      </c>
      <c r="D162" s="1" t="s">
        <v>20</v>
      </c>
      <c r="E162" s="1" t="s">
        <v>632</v>
      </c>
      <c r="F162" s="1" t="s">
        <v>14</v>
      </c>
      <c r="G162" s="1" t="s">
        <v>15</v>
      </c>
      <c r="H162" s="1" t="s">
        <v>41</v>
      </c>
      <c r="I162" s="1">
        <v>0</v>
      </c>
      <c r="J162" s="12">
        <f t="shared" si="4"/>
        <v>45303</v>
      </c>
      <c r="K162" s="14">
        <f t="shared" si="5"/>
        <v>1</v>
      </c>
      <c r="L162" s="13"/>
      <c r="M162" s="13"/>
    </row>
    <row r="163" spans="1:13" x14ac:dyDescent="0.25">
      <c r="A163" s="1" t="s">
        <v>633</v>
      </c>
      <c r="B163" s="1" t="s">
        <v>634</v>
      </c>
      <c r="C163" s="1" t="s">
        <v>635</v>
      </c>
      <c r="D163" s="1" t="s">
        <v>20</v>
      </c>
      <c r="E163" s="1" t="s">
        <v>447</v>
      </c>
      <c r="F163" s="1" t="s">
        <v>14</v>
      </c>
      <c r="G163" s="1" t="s">
        <v>35</v>
      </c>
      <c r="H163" s="1" t="s">
        <v>41</v>
      </c>
      <c r="I163" s="1">
        <v>0</v>
      </c>
      <c r="J163" s="12">
        <f t="shared" si="4"/>
        <v>45309</v>
      </c>
      <c r="K163" s="14">
        <f t="shared" si="5"/>
        <v>1</v>
      </c>
      <c r="L163" s="13"/>
      <c r="M163" s="13"/>
    </row>
    <row r="164" spans="1:13" x14ac:dyDescent="0.25">
      <c r="A164" s="1" t="s">
        <v>474</v>
      </c>
      <c r="B164" s="1" t="s">
        <v>636</v>
      </c>
      <c r="C164" s="1" t="s">
        <v>637</v>
      </c>
      <c r="D164" s="1" t="s">
        <v>20</v>
      </c>
      <c r="E164" s="1" t="s">
        <v>611</v>
      </c>
      <c r="F164" s="1" t="s">
        <v>22</v>
      </c>
      <c r="G164" s="1" t="s">
        <v>23</v>
      </c>
      <c r="H164" s="1" t="s">
        <v>41</v>
      </c>
      <c r="I164" s="1">
        <v>0</v>
      </c>
      <c r="J164" s="12">
        <f t="shared" si="4"/>
        <v>45303</v>
      </c>
      <c r="K164" s="14">
        <f t="shared" si="5"/>
        <v>1</v>
      </c>
      <c r="L164" s="13"/>
      <c r="M164" s="13"/>
    </row>
    <row r="165" spans="1:13" x14ac:dyDescent="0.25">
      <c r="A165" s="1" t="s">
        <v>638</v>
      </c>
      <c r="B165" s="1" t="s">
        <v>639</v>
      </c>
      <c r="C165" s="1" t="s">
        <v>640</v>
      </c>
      <c r="D165" s="1" t="s">
        <v>20</v>
      </c>
      <c r="E165" s="1" t="s">
        <v>158</v>
      </c>
      <c r="F165" s="1" t="s">
        <v>22</v>
      </c>
      <c r="G165" s="1" t="s">
        <v>35</v>
      </c>
      <c r="H165" s="1" t="s">
        <v>24</v>
      </c>
      <c r="I165" s="1">
        <v>0</v>
      </c>
      <c r="J165" s="12">
        <f t="shared" si="4"/>
        <v>45315</v>
      </c>
      <c r="K165" s="14">
        <f t="shared" si="5"/>
        <v>1</v>
      </c>
      <c r="L165" s="13"/>
      <c r="M165" s="13"/>
    </row>
    <row r="166" spans="1:13" x14ac:dyDescent="0.25">
      <c r="A166" s="1" t="s">
        <v>641</v>
      </c>
      <c r="B166" s="1" t="s">
        <v>642</v>
      </c>
      <c r="C166" s="1" t="s">
        <v>643</v>
      </c>
      <c r="D166" s="1" t="s">
        <v>12</v>
      </c>
      <c r="E166" s="1" t="s">
        <v>644</v>
      </c>
      <c r="F166" s="1" t="s">
        <v>22</v>
      </c>
      <c r="G166" s="1" t="s">
        <v>35</v>
      </c>
      <c r="H166" s="1" t="s">
        <v>16</v>
      </c>
      <c r="I166" s="1">
        <v>0</v>
      </c>
      <c r="J166" s="12">
        <f t="shared" si="4"/>
        <v>45295</v>
      </c>
      <c r="K166" s="14">
        <f t="shared" si="5"/>
        <v>1</v>
      </c>
      <c r="L166" s="13"/>
      <c r="M166" s="13"/>
    </row>
    <row r="167" spans="1:13" x14ac:dyDescent="0.25">
      <c r="A167" s="1" t="s">
        <v>291</v>
      </c>
      <c r="B167" s="1" t="s">
        <v>645</v>
      </c>
      <c r="C167" s="1" t="s">
        <v>646</v>
      </c>
      <c r="D167" s="1" t="s">
        <v>45</v>
      </c>
      <c r="E167" s="1" t="s">
        <v>647</v>
      </c>
      <c r="F167" s="1" t="s">
        <v>29</v>
      </c>
      <c r="G167" s="1" t="s">
        <v>23</v>
      </c>
      <c r="H167" s="1" t="s">
        <v>55</v>
      </c>
      <c r="I167" s="1">
        <v>381</v>
      </c>
      <c r="J167" s="12">
        <f t="shared" si="4"/>
        <v>45323</v>
      </c>
      <c r="K167" s="14">
        <f t="shared" si="5"/>
        <v>2</v>
      </c>
      <c r="L167" s="13"/>
      <c r="M167" s="13"/>
    </row>
    <row r="168" spans="1:13" x14ac:dyDescent="0.25">
      <c r="A168" s="1" t="s">
        <v>648</v>
      </c>
      <c r="B168" s="1" t="s">
        <v>649</v>
      </c>
      <c r="C168" s="1" t="s">
        <v>650</v>
      </c>
      <c r="D168" s="1" t="s">
        <v>45</v>
      </c>
      <c r="E168" s="1" t="s">
        <v>570</v>
      </c>
      <c r="F168" s="1" t="s">
        <v>75</v>
      </c>
      <c r="G168" s="1" t="s">
        <v>35</v>
      </c>
      <c r="H168" s="1" t="s">
        <v>24</v>
      </c>
      <c r="I168" s="1">
        <v>2885</v>
      </c>
      <c r="J168" s="12">
        <f t="shared" si="4"/>
        <v>45293</v>
      </c>
      <c r="K168" s="14">
        <f t="shared" si="5"/>
        <v>1</v>
      </c>
      <c r="L168" s="13"/>
      <c r="M168" s="13"/>
    </row>
    <row r="169" spans="1:13" x14ac:dyDescent="0.25">
      <c r="A169" s="1" t="s">
        <v>651</v>
      </c>
      <c r="B169" s="1" t="s">
        <v>652</v>
      </c>
      <c r="C169" s="1" t="s">
        <v>653</v>
      </c>
      <c r="D169" s="1" t="s">
        <v>12</v>
      </c>
      <c r="E169" s="1" t="s">
        <v>654</v>
      </c>
      <c r="F169" s="1" t="s">
        <v>22</v>
      </c>
      <c r="G169" s="1" t="s">
        <v>35</v>
      </c>
      <c r="H169" s="1" t="s">
        <v>16</v>
      </c>
      <c r="I169" s="1">
        <v>0</v>
      </c>
      <c r="J169" s="12">
        <f t="shared" si="4"/>
        <v>45293</v>
      </c>
      <c r="K169" s="14">
        <f t="shared" si="5"/>
        <v>1</v>
      </c>
      <c r="L169" s="13"/>
      <c r="M169" s="13"/>
    </row>
    <row r="170" spans="1:13" x14ac:dyDescent="0.25">
      <c r="A170" s="1" t="s">
        <v>586</v>
      </c>
      <c r="B170" s="1" t="s">
        <v>655</v>
      </c>
      <c r="C170" s="1" t="s">
        <v>656</v>
      </c>
      <c r="D170" s="1" t="s">
        <v>20</v>
      </c>
      <c r="E170" s="1" t="s">
        <v>657</v>
      </c>
      <c r="F170" s="1" t="s">
        <v>22</v>
      </c>
      <c r="G170" s="1" t="s">
        <v>35</v>
      </c>
      <c r="H170" s="1" t="s">
        <v>30</v>
      </c>
      <c r="I170" s="1">
        <v>0</v>
      </c>
      <c r="J170" s="12">
        <f t="shared" si="4"/>
        <v>45294</v>
      </c>
      <c r="K170" s="14">
        <f t="shared" si="5"/>
        <v>1</v>
      </c>
      <c r="L170" s="13"/>
      <c r="M170" s="13"/>
    </row>
    <row r="171" spans="1:13" x14ac:dyDescent="0.25">
      <c r="A171" s="1" t="s">
        <v>658</v>
      </c>
      <c r="B171" s="1" t="s">
        <v>659</v>
      </c>
      <c r="C171" s="1" t="s">
        <v>660</v>
      </c>
      <c r="D171" s="1" t="s">
        <v>45</v>
      </c>
      <c r="E171" s="1" t="s">
        <v>661</v>
      </c>
      <c r="F171" s="1" t="s">
        <v>29</v>
      </c>
      <c r="G171" s="1" t="s">
        <v>23</v>
      </c>
      <c r="H171" s="1" t="s">
        <v>41</v>
      </c>
      <c r="I171" s="1">
        <v>2027</v>
      </c>
      <c r="J171" s="12">
        <f t="shared" si="4"/>
        <v>45315</v>
      </c>
      <c r="K171" s="14">
        <f t="shared" si="5"/>
        <v>1</v>
      </c>
      <c r="L171" s="13"/>
      <c r="M171" s="13"/>
    </row>
    <row r="172" spans="1:13" x14ac:dyDescent="0.25">
      <c r="A172" s="1" t="s">
        <v>662</v>
      </c>
      <c r="B172" s="1" t="s">
        <v>663</v>
      </c>
      <c r="C172" s="1" t="s">
        <v>664</v>
      </c>
      <c r="D172" s="1" t="s">
        <v>12</v>
      </c>
      <c r="E172" s="1" t="s">
        <v>665</v>
      </c>
      <c r="F172" s="1" t="s">
        <v>75</v>
      </c>
      <c r="G172" s="1" t="s">
        <v>23</v>
      </c>
      <c r="H172" s="1" t="s">
        <v>16</v>
      </c>
      <c r="I172" s="1">
        <v>0</v>
      </c>
      <c r="J172" s="12">
        <f t="shared" si="4"/>
        <v>45304</v>
      </c>
      <c r="K172" s="14">
        <f t="shared" si="5"/>
        <v>1</v>
      </c>
      <c r="L172" s="13"/>
      <c r="M172" s="13"/>
    </row>
    <row r="173" spans="1:13" x14ac:dyDescent="0.25">
      <c r="A173" s="1" t="s">
        <v>666</v>
      </c>
      <c r="B173" s="1" t="s">
        <v>667</v>
      </c>
      <c r="C173" s="1" t="s">
        <v>668</v>
      </c>
      <c r="D173" s="1" t="s">
        <v>12</v>
      </c>
      <c r="E173" s="1" t="s">
        <v>669</v>
      </c>
      <c r="F173" s="1" t="s">
        <v>29</v>
      </c>
      <c r="G173" s="1" t="s">
        <v>35</v>
      </c>
      <c r="H173" s="1" t="s">
        <v>24</v>
      </c>
      <c r="I173" s="1">
        <v>0</v>
      </c>
      <c r="J173" s="12">
        <f t="shared" si="4"/>
        <v>45317</v>
      </c>
      <c r="K173" s="14">
        <f t="shared" si="5"/>
        <v>1</v>
      </c>
      <c r="L173" s="13"/>
      <c r="M173" s="13"/>
    </row>
    <row r="174" spans="1:13" x14ac:dyDescent="0.25">
      <c r="A174" s="1" t="s">
        <v>670</v>
      </c>
      <c r="B174" s="1" t="s">
        <v>671</v>
      </c>
      <c r="C174" s="1" t="s">
        <v>672</v>
      </c>
      <c r="D174" s="1" t="s">
        <v>20</v>
      </c>
      <c r="E174" s="1" t="s">
        <v>673</v>
      </c>
      <c r="F174" s="1" t="s">
        <v>29</v>
      </c>
      <c r="G174" s="1" t="s">
        <v>23</v>
      </c>
      <c r="H174" s="1" t="s">
        <v>30</v>
      </c>
      <c r="I174" s="1">
        <v>0</v>
      </c>
      <c r="J174" s="12">
        <f t="shared" si="4"/>
        <v>45325</v>
      </c>
      <c r="K174" s="14">
        <f t="shared" si="5"/>
        <v>2</v>
      </c>
      <c r="L174" s="13"/>
      <c r="M174" s="13"/>
    </row>
    <row r="175" spans="1:13" x14ac:dyDescent="0.25">
      <c r="A175" s="1" t="s">
        <v>674</v>
      </c>
      <c r="B175" s="1" t="s">
        <v>289</v>
      </c>
      <c r="C175" s="1" t="s">
        <v>675</v>
      </c>
      <c r="D175" s="1" t="s">
        <v>12</v>
      </c>
      <c r="E175" s="1" t="s">
        <v>676</v>
      </c>
      <c r="F175" s="1" t="s">
        <v>22</v>
      </c>
      <c r="G175" s="1" t="s">
        <v>15</v>
      </c>
      <c r="H175" s="1" t="s">
        <v>16</v>
      </c>
      <c r="I175" s="1">
        <v>0</v>
      </c>
      <c r="J175" s="12">
        <f t="shared" si="4"/>
        <v>45304</v>
      </c>
      <c r="K175" s="14">
        <f t="shared" si="5"/>
        <v>1</v>
      </c>
      <c r="L175" s="13"/>
      <c r="M175" s="13"/>
    </row>
    <row r="176" spans="1:13" x14ac:dyDescent="0.25">
      <c r="A176" s="1" t="s">
        <v>677</v>
      </c>
      <c r="B176" s="1" t="s">
        <v>678</v>
      </c>
      <c r="C176" s="1" t="s">
        <v>679</v>
      </c>
      <c r="D176" s="1" t="s">
        <v>20</v>
      </c>
      <c r="E176" s="1" t="s">
        <v>266</v>
      </c>
      <c r="F176" s="1" t="s">
        <v>40</v>
      </c>
      <c r="G176" s="1" t="s">
        <v>23</v>
      </c>
      <c r="H176" s="1" t="s">
        <v>16</v>
      </c>
      <c r="I176" s="1">
        <v>0</v>
      </c>
      <c r="J176" s="12">
        <f t="shared" si="4"/>
        <v>45320</v>
      </c>
      <c r="K176" s="14">
        <f t="shared" si="5"/>
        <v>1</v>
      </c>
      <c r="L176" s="13"/>
      <c r="M176" s="13"/>
    </row>
    <row r="177" spans="1:13" x14ac:dyDescent="0.25">
      <c r="A177" s="1" t="s">
        <v>680</v>
      </c>
      <c r="B177" s="1" t="s">
        <v>434</v>
      </c>
      <c r="C177" s="1" t="s">
        <v>681</v>
      </c>
      <c r="D177" s="1" t="s">
        <v>12</v>
      </c>
      <c r="E177" s="1" t="s">
        <v>243</v>
      </c>
      <c r="F177" s="1" t="s">
        <v>22</v>
      </c>
      <c r="G177" s="1" t="s">
        <v>15</v>
      </c>
      <c r="H177" s="1" t="s">
        <v>41</v>
      </c>
      <c r="I177" s="1">
        <v>0</v>
      </c>
      <c r="J177" s="12">
        <f t="shared" si="4"/>
        <v>45323</v>
      </c>
      <c r="K177" s="14">
        <f t="shared" si="5"/>
        <v>2</v>
      </c>
      <c r="L177" s="13"/>
      <c r="M177" s="13"/>
    </row>
    <row r="178" spans="1:13" x14ac:dyDescent="0.25">
      <c r="A178" s="1" t="s">
        <v>682</v>
      </c>
      <c r="B178" s="1" t="s">
        <v>683</v>
      </c>
      <c r="C178" s="1" t="s">
        <v>684</v>
      </c>
      <c r="D178" s="1" t="s">
        <v>45</v>
      </c>
      <c r="E178" s="1" t="s">
        <v>685</v>
      </c>
      <c r="F178" s="1" t="s">
        <v>14</v>
      </c>
      <c r="G178" s="1" t="s">
        <v>23</v>
      </c>
      <c r="H178" s="1" t="s">
        <v>16</v>
      </c>
      <c r="I178" s="1">
        <v>1364</v>
      </c>
      <c r="J178" s="12">
        <f t="shared" si="4"/>
        <v>45315</v>
      </c>
      <c r="K178" s="14">
        <f t="shared" si="5"/>
        <v>1</v>
      </c>
      <c r="L178" s="13"/>
      <c r="M178" s="13"/>
    </row>
    <row r="179" spans="1:13" x14ac:dyDescent="0.25">
      <c r="A179" s="1" t="s">
        <v>686</v>
      </c>
      <c r="B179" s="1" t="s">
        <v>687</v>
      </c>
      <c r="C179" s="1" t="s">
        <v>688</v>
      </c>
      <c r="D179" s="1" t="s">
        <v>12</v>
      </c>
      <c r="E179" s="1" t="s">
        <v>564</v>
      </c>
      <c r="F179" s="1" t="s">
        <v>22</v>
      </c>
      <c r="G179" s="1" t="s">
        <v>23</v>
      </c>
      <c r="H179" s="1" t="s">
        <v>16</v>
      </c>
      <c r="I179" s="1">
        <v>0</v>
      </c>
      <c r="J179" s="12">
        <f t="shared" si="4"/>
        <v>45294</v>
      </c>
      <c r="K179" s="14">
        <f t="shared" si="5"/>
        <v>1</v>
      </c>
      <c r="L179" s="13"/>
      <c r="M179" s="13"/>
    </row>
    <row r="180" spans="1:13" x14ac:dyDescent="0.25">
      <c r="A180" s="1" t="s">
        <v>689</v>
      </c>
      <c r="B180" s="1" t="s">
        <v>690</v>
      </c>
      <c r="C180" s="1" t="s">
        <v>691</v>
      </c>
      <c r="D180" s="1" t="s">
        <v>45</v>
      </c>
      <c r="E180" s="1" t="s">
        <v>692</v>
      </c>
      <c r="F180" s="1" t="s">
        <v>75</v>
      </c>
      <c r="G180" s="1" t="s">
        <v>35</v>
      </c>
      <c r="H180" s="1" t="s">
        <v>16</v>
      </c>
      <c r="I180" s="1">
        <v>2219</v>
      </c>
      <c r="J180" s="12">
        <f t="shared" si="4"/>
        <v>45313</v>
      </c>
      <c r="K180" s="14">
        <f t="shared" si="5"/>
        <v>1</v>
      </c>
      <c r="L180" s="13"/>
      <c r="M180" s="13"/>
    </row>
    <row r="181" spans="1:13" x14ac:dyDescent="0.25">
      <c r="A181" s="1" t="s">
        <v>693</v>
      </c>
      <c r="B181" s="1" t="s">
        <v>694</v>
      </c>
      <c r="C181" s="1" t="s">
        <v>695</v>
      </c>
      <c r="D181" s="1" t="s">
        <v>12</v>
      </c>
      <c r="E181" s="1" t="s">
        <v>696</v>
      </c>
      <c r="F181" s="1" t="s">
        <v>22</v>
      </c>
      <c r="G181" s="1" t="s">
        <v>35</v>
      </c>
      <c r="H181" s="1" t="s">
        <v>30</v>
      </c>
      <c r="I181" s="1">
        <v>0</v>
      </c>
      <c r="J181" s="12">
        <f t="shared" si="4"/>
        <v>45314</v>
      </c>
      <c r="K181" s="14">
        <f t="shared" si="5"/>
        <v>1</v>
      </c>
      <c r="L181" s="13"/>
      <c r="M181" s="13"/>
    </row>
    <row r="182" spans="1:13" x14ac:dyDescent="0.25">
      <c r="A182" s="1" t="s">
        <v>697</v>
      </c>
      <c r="B182" s="1" t="s">
        <v>698</v>
      </c>
      <c r="C182" s="1" t="s">
        <v>699</v>
      </c>
      <c r="D182" s="1" t="s">
        <v>12</v>
      </c>
      <c r="E182" s="1" t="s">
        <v>700</v>
      </c>
      <c r="F182" s="1" t="s">
        <v>22</v>
      </c>
      <c r="G182" s="1" t="s">
        <v>15</v>
      </c>
      <c r="H182" s="1" t="s">
        <v>24</v>
      </c>
      <c r="I182" s="1">
        <v>0</v>
      </c>
      <c r="J182" s="12">
        <f t="shared" si="4"/>
        <v>45319</v>
      </c>
      <c r="K182" s="14">
        <f t="shared" si="5"/>
        <v>1</v>
      </c>
      <c r="L182" s="13"/>
      <c r="M182" s="13"/>
    </row>
    <row r="183" spans="1:13" x14ac:dyDescent="0.25">
      <c r="A183" s="1" t="s">
        <v>701</v>
      </c>
      <c r="B183" s="1" t="s">
        <v>702</v>
      </c>
      <c r="C183" s="1" t="s">
        <v>703</v>
      </c>
      <c r="D183" s="1" t="s">
        <v>20</v>
      </c>
      <c r="E183" s="1" t="s">
        <v>704</v>
      </c>
      <c r="F183" s="1" t="s">
        <v>29</v>
      </c>
      <c r="G183" s="1" t="s">
        <v>23</v>
      </c>
      <c r="H183" s="1" t="s">
        <v>41</v>
      </c>
      <c r="I183" s="1">
        <v>0</v>
      </c>
      <c r="J183" s="12">
        <f t="shared" si="4"/>
        <v>45314</v>
      </c>
      <c r="K183" s="14">
        <f t="shared" si="5"/>
        <v>1</v>
      </c>
      <c r="L183" s="13"/>
      <c r="M183" s="13"/>
    </row>
    <row r="184" spans="1:13" x14ac:dyDescent="0.25">
      <c r="A184" s="1" t="s">
        <v>705</v>
      </c>
      <c r="B184" s="1" t="s">
        <v>706</v>
      </c>
      <c r="C184" s="1" t="s">
        <v>707</v>
      </c>
      <c r="D184" s="1" t="s">
        <v>45</v>
      </c>
      <c r="E184" s="1" t="s">
        <v>708</v>
      </c>
      <c r="F184" s="1" t="s">
        <v>14</v>
      </c>
      <c r="G184" s="1" t="s">
        <v>35</v>
      </c>
      <c r="H184" s="1" t="s">
        <v>55</v>
      </c>
      <c r="I184" s="1">
        <v>3510</v>
      </c>
      <c r="J184" s="12">
        <f t="shared" si="4"/>
        <v>45325</v>
      </c>
      <c r="K184" s="14">
        <f t="shared" si="5"/>
        <v>2</v>
      </c>
      <c r="L184" s="13"/>
      <c r="M184" s="13"/>
    </row>
    <row r="185" spans="1:13" x14ac:dyDescent="0.25">
      <c r="A185" s="1" t="s">
        <v>366</v>
      </c>
      <c r="B185" s="1" t="s">
        <v>709</v>
      </c>
      <c r="C185" s="1" t="s">
        <v>710</v>
      </c>
      <c r="D185" s="1" t="s">
        <v>20</v>
      </c>
      <c r="E185" s="1" t="s">
        <v>142</v>
      </c>
      <c r="F185" s="1" t="s">
        <v>14</v>
      </c>
      <c r="G185" s="1" t="s">
        <v>35</v>
      </c>
      <c r="H185" s="1" t="s">
        <v>30</v>
      </c>
      <c r="I185" s="1">
        <v>0</v>
      </c>
      <c r="J185" s="12">
        <f t="shared" si="4"/>
        <v>45320</v>
      </c>
      <c r="K185" s="14">
        <f t="shared" si="5"/>
        <v>1</v>
      </c>
      <c r="L185" s="13"/>
      <c r="M185" s="13"/>
    </row>
    <row r="186" spans="1:13" x14ac:dyDescent="0.25">
      <c r="A186" s="1" t="s">
        <v>711</v>
      </c>
      <c r="B186" s="1" t="s">
        <v>712</v>
      </c>
      <c r="C186" s="1" t="s">
        <v>713</v>
      </c>
      <c r="D186" s="1" t="s">
        <v>20</v>
      </c>
      <c r="E186" s="1" t="s">
        <v>714</v>
      </c>
      <c r="F186" s="1" t="s">
        <v>22</v>
      </c>
      <c r="G186" s="1" t="s">
        <v>35</v>
      </c>
      <c r="H186" s="1" t="s">
        <v>55</v>
      </c>
      <c r="I186" s="1">
        <v>0</v>
      </c>
      <c r="J186" s="12">
        <f t="shared" si="4"/>
        <v>45322</v>
      </c>
      <c r="K186" s="14">
        <f t="shared" si="5"/>
        <v>1</v>
      </c>
      <c r="L186" s="13"/>
      <c r="M186" s="13"/>
    </row>
    <row r="187" spans="1:13" x14ac:dyDescent="0.25">
      <c r="A187" s="1" t="s">
        <v>715</v>
      </c>
      <c r="B187" s="1" t="s">
        <v>716</v>
      </c>
      <c r="C187" s="1" t="s">
        <v>717</v>
      </c>
      <c r="D187" s="1" t="s">
        <v>45</v>
      </c>
      <c r="E187" s="1" t="s">
        <v>718</v>
      </c>
      <c r="F187" s="1" t="s">
        <v>14</v>
      </c>
      <c r="G187" s="1" t="s">
        <v>15</v>
      </c>
      <c r="H187" s="1" t="s">
        <v>41</v>
      </c>
      <c r="I187" s="1">
        <v>1587</v>
      </c>
      <c r="J187" s="12">
        <f t="shared" si="4"/>
        <v>45292</v>
      </c>
      <c r="K187" s="14">
        <f t="shared" si="5"/>
        <v>1</v>
      </c>
      <c r="L187" s="13"/>
      <c r="M187" s="13"/>
    </row>
    <row r="188" spans="1:13" x14ac:dyDescent="0.25">
      <c r="A188" s="1" t="s">
        <v>719</v>
      </c>
      <c r="B188" s="1" t="s">
        <v>720</v>
      </c>
      <c r="C188" s="1" t="s">
        <v>721</v>
      </c>
      <c r="D188" s="1" t="s">
        <v>45</v>
      </c>
      <c r="E188" s="1" t="s">
        <v>722</v>
      </c>
      <c r="F188" s="1" t="s">
        <v>75</v>
      </c>
      <c r="G188" s="1" t="s">
        <v>15</v>
      </c>
      <c r="H188" s="1" t="s">
        <v>16</v>
      </c>
      <c r="I188" s="1">
        <v>4456</v>
      </c>
      <c r="J188" s="12">
        <f t="shared" si="4"/>
        <v>45308</v>
      </c>
      <c r="K188" s="14">
        <f t="shared" si="5"/>
        <v>1</v>
      </c>
      <c r="L188" s="13"/>
      <c r="M188" s="13"/>
    </row>
    <row r="189" spans="1:13" x14ac:dyDescent="0.25">
      <c r="A189" s="1" t="s">
        <v>723</v>
      </c>
      <c r="B189" s="1" t="s">
        <v>724</v>
      </c>
      <c r="C189" s="1" t="s">
        <v>725</v>
      </c>
      <c r="D189" s="1" t="s">
        <v>12</v>
      </c>
      <c r="E189" s="1" t="s">
        <v>726</v>
      </c>
      <c r="F189" s="1" t="s">
        <v>40</v>
      </c>
      <c r="G189" s="1" t="s">
        <v>15</v>
      </c>
      <c r="H189" s="1" t="s">
        <v>30</v>
      </c>
      <c r="I189" s="1">
        <v>0</v>
      </c>
      <c r="J189" s="12">
        <f t="shared" si="4"/>
        <v>45312</v>
      </c>
      <c r="K189" s="14">
        <f t="shared" si="5"/>
        <v>1</v>
      </c>
      <c r="L189" s="13"/>
      <c r="M189" s="13"/>
    </row>
    <row r="190" spans="1:13" x14ac:dyDescent="0.25">
      <c r="A190" s="1" t="s">
        <v>194</v>
      </c>
      <c r="B190" s="1" t="s">
        <v>727</v>
      </c>
      <c r="C190" s="1" t="s">
        <v>728</v>
      </c>
      <c r="D190" s="1" t="s">
        <v>20</v>
      </c>
      <c r="E190" s="1" t="s">
        <v>729</v>
      </c>
      <c r="F190" s="1" t="s">
        <v>75</v>
      </c>
      <c r="G190" s="1" t="s">
        <v>23</v>
      </c>
      <c r="H190" s="1" t="s">
        <v>24</v>
      </c>
      <c r="I190" s="1">
        <v>0</v>
      </c>
      <c r="J190" s="12">
        <f t="shared" si="4"/>
        <v>45304</v>
      </c>
      <c r="K190" s="14">
        <f t="shared" si="5"/>
        <v>1</v>
      </c>
      <c r="L190" s="13"/>
      <c r="M190" s="13"/>
    </row>
    <row r="191" spans="1:13" x14ac:dyDescent="0.25">
      <c r="A191" s="1" t="s">
        <v>730</v>
      </c>
      <c r="B191" s="1" t="s">
        <v>731</v>
      </c>
      <c r="C191" s="1" t="s">
        <v>732</v>
      </c>
      <c r="D191" s="1" t="s">
        <v>12</v>
      </c>
      <c r="E191" s="1" t="s">
        <v>733</v>
      </c>
      <c r="F191" s="1" t="s">
        <v>75</v>
      </c>
      <c r="G191" s="1" t="s">
        <v>23</v>
      </c>
      <c r="H191" s="1" t="s">
        <v>30</v>
      </c>
      <c r="I191" s="1">
        <v>0</v>
      </c>
      <c r="J191" s="12">
        <f t="shared" si="4"/>
        <v>45300</v>
      </c>
      <c r="K191" s="14">
        <f t="shared" si="5"/>
        <v>1</v>
      </c>
      <c r="L191" s="13"/>
      <c r="M191" s="13"/>
    </row>
    <row r="192" spans="1:13" x14ac:dyDescent="0.25">
      <c r="A192" s="1" t="s">
        <v>734</v>
      </c>
      <c r="B192" s="1" t="s">
        <v>735</v>
      </c>
      <c r="C192" s="1" t="s">
        <v>736</v>
      </c>
      <c r="D192" s="1" t="s">
        <v>12</v>
      </c>
      <c r="E192" s="1" t="s">
        <v>737</v>
      </c>
      <c r="F192" s="1" t="s">
        <v>40</v>
      </c>
      <c r="G192" s="1" t="s">
        <v>23</v>
      </c>
      <c r="H192" s="1" t="s">
        <v>30</v>
      </c>
      <c r="I192" s="1">
        <v>0</v>
      </c>
      <c r="J192" s="12">
        <f t="shared" si="4"/>
        <v>45302</v>
      </c>
      <c r="K192" s="14">
        <f t="shared" si="5"/>
        <v>1</v>
      </c>
      <c r="L192" s="13"/>
      <c r="M192" s="13"/>
    </row>
    <row r="193" spans="1:13" x14ac:dyDescent="0.25">
      <c r="A193" s="1" t="s">
        <v>738</v>
      </c>
      <c r="B193" s="1" t="s">
        <v>739</v>
      </c>
      <c r="C193" s="1" t="s">
        <v>740</v>
      </c>
      <c r="D193" s="1" t="s">
        <v>20</v>
      </c>
      <c r="E193" s="1" t="s">
        <v>741</v>
      </c>
      <c r="F193" s="1" t="s">
        <v>14</v>
      </c>
      <c r="G193" s="1" t="s">
        <v>23</v>
      </c>
      <c r="H193" s="1" t="s">
        <v>30</v>
      </c>
      <c r="I193" s="1">
        <v>0</v>
      </c>
      <c r="J193" s="12">
        <f t="shared" si="4"/>
        <v>45295</v>
      </c>
      <c r="K193" s="14">
        <f t="shared" si="5"/>
        <v>1</v>
      </c>
      <c r="L193" s="13"/>
      <c r="M193" s="13"/>
    </row>
    <row r="194" spans="1:13" x14ac:dyDescent="0.25">
      <c r="A194" s="1" t="s">
        <v>742</v>
      </c>
      <c r="B194" s="1" t="s">
        <v>743</v>
      </c>
      <c r="C194" s="1" t="s">
        <v>744</v>
      </c>
      <c r="D194" s="1" t="s">
        <v>20</v>
      </c>
      <c r="E194" s="1" t="s">
        <v>745</v>
      </c>
      <c r="F194" s="1" t="s">
        <v>29</v>
      </c>
      <c r="G194" s="1" t="s">
        <v>35</v>
      </c>
      <c r="H194" s="1" t="s">
        <v>24</v>
      </c>
      <c r="I194" s="1">
        <v>0</v>
      </c>
      <c r="J194" s="12">
        <f t="shared" si="4"/>
        <v>45301</v>
      </c>
      <c r="K194" s="14">
        <f t="shared" si="5"/>
        <v>1</v>
      </c>
      <c r="L194" s="13"/>
      <c r="M194" s="13"/>
    </row>
    <row r="195" spans="1:13" x14ac:dyDescent="0.25">
      <c r="A195" s="1" t="s">
        <v>746</v>
      </c>
      <c r="B195" s="1" t="s">
        <v>747</v>
      </c>
      <c r="C195" s="1" t="s">
        <v>748</v>
      </c>
      <c r="D195" s="1" t="s">
        <v>12</v>
      </c>
      <c r="E195" s="1" t="s">
        <v>749</v>
      </c>
      <c r="F195" s="1" t="s">
        <v>40</v>
      </c>
      <c r="G195" s="1" t="s">
        <v>35</v>
      </c>
      <c r="H195" s="1" t="s">
        <v>24</v>
      </c>
      <c r="I195" s="1">
        <v>0</v>
      </c>
      <c r="J195" s="12">
        <f t="shared" si="4"/>
        <v>45316</v>
      </c>
      <c r="K195" s="14">
        <f t="shared" si="5"/>
        <v>1</v>
      </c>
      <c r="L195" s="13"/>
      <c r="M195" s="13"/>
    </row>
    <row r="196" spans="1:13" x14ac:dyDescent="0.25">
      <c r="A196" s="1" t="s">
        <v>750</v>
      </c>
      <c r="B196" s="1" t="s">
        <v>751</v>
      </c>
      <c r="C196" s="1" t="s">
        <v>752</v>
      </c>
      <c r="D196" s="1" t="s">
        <v>12</v>
      </c>
      <c r="E196" s="1" t="s">
        <v>753</v>
      </c>
      <c r="F196" s="1" t="s">
        <v>40</v>
      </c>
      <c r="G196" s="1" t="s">
        <v>35</v>
      </c>
      <c r="H196" s="1" t="s">
        <v>41</v>
      </c>
      <c r="I196" s="1">
        <v>0</v>
      </c>
      <c r="J196" s="12">
        <f t="shared" ref="J196:J259" si="6">INT(C196)</f>
        <v>45325</v>
      </c>
      <c r="K196" s="14">
        <f t="shared" ref="K196:K259" si="7">MONTH(C196)</f>
        <v>2</v>
      </c>
      <c r="L196" s="13"/>
      <c r="M196" s="13"/>
    </row>
    <row r="197" spans="1:13" x14ac:dyDescent="0.25">
      <c r="A197" s="1" t="s">
        <v>754</v>
      </c>
      <c r="B197" s="1" t="s">
        <v>755</v>
      </c>
      <c r="C197" s="1" t="s">
        <v>756</v>
      </c>
      <c r="D197" s="1" t="s">
        <v>20</v>
      </c>
      <c r="E197" s="1" t="s">
        <v>757</v>
      </c>
      <c r="F197" s="1" t="s">
        <v>29</v>
      </c>
      <c r="G197" s="1" t="s">
        <v>23</v>
      </c>
      <c r="H197" s="1" t="s">
        <v>24</v>
      </c>
      <c r="I197" s="1">
        <v>0</v>
      </c>
      <c r="J197" s="12">
        <f t="shared" si="6"/>
        <v>45304</v>
      </c>
      <c r="K197" s="14">
        <f t="shared" si="7"/>
        <v>1</v>
      </c>
      <c r="L197" s="13"/>
      <c r="M197" s="13"/>
    </row>
    <row r="198" spans="1:13" x14ac:dyDescent="0.25">
      <c r="A198" s="1" t="s">
        <v>186</v>
      </c>
      <c r="B198" s="1" t="s">
        <v>758</v>
      </c>
      <c r="C198" s="1" t="s">
        <v>759</v>
      </c>
      <c r="D198" s="1" t="s">
        <v>12</v>
      </c>
      <c r="E198" s="1" t="s">
        <v>760</v>
      </c>
      <c r="F198" s="1" t="s">
        <v>29</v>
      </c>
      <c r="G198" s="1" t="s">
        <v>35</v>
      </c>
      <c r="H198" s="1" t="s">
        <v>55</v>
      </c>
      <c r="I198" s="1">
        <v>0</v>
      </c>
      <c r="J198" s="12">
        <f t="shared" si="6"/>
        <v>45319</v>
      </c>
      <c r="K198" s="14">
        <f t="shared" si="7"/>
        <v>1</v>
      </c>
      <c r="L198" s="13"/>
      <c r="M198" s="13"/>
    </row>
    <row r="199" spans="1:13" x14ac:dyDescent="0.25">
      <c r="A199" s="1" t="s">
        <v>206</v>
      </c>
      <c r="B199" s="1" t="s">
        <v>761</v>
      </c>
      <c r="C199" s="1" t="s">
        <v>762</v>
      </c>
      <c r="D199" s="1" t="s">
        <v>20</v>
      </c>
      <c r="E199" s="1" t="s">
        <v>763</v>
      </c>
      <c r="F199" s="1" t="s">
        <v>22</v>
      </c>
      <c r="G199" s="1" t="s">
        <v>23</v>
      </c>
      <c r="H199" s="1" t="s">
        <v>24</v>
      </c>
      <c r="I199" s="1">
        <v>0</v>
      </c>
      <c r="J199" s="12">
        <f t="shared" si="6"/>
        <v>45299</v>
      </c>
      <c r="K199" s="14">
        <f t="shared" si="7"/>
        <v>1</v>
      </c>
      <c r="L199" s="13"/>
      <c r="M199" s="13"/>
    </row>
    <row r="200" spans="1:13" x14ac:dyDescent="0.25">
      <c r="A200" s="1" t="s">
        <v>764</v>
      </c>
      <c r="B200" s="1" t="s">
        <v>765</v>
      </c>
      <c r="C200" s="1" t="s">
        <v>766</v>
      </c>
      <c r="D200" s="1" t="s">
        <v>45</v>
      </c>
      <c r="E200" s="1" t="s">
        <v>66</v>
      </c>
      <c r="F200" s="1" t="s">
        <v>29</v>
      </c>
      <c r="G200" s="1" t="s">
        <v>35</v>
      </c>
      <c r="H200" s="1" t="s">
        <v>41</v>
      </c>
      <c r="I200" s="1">
        <v>2267</v>
      </c>
      <c r="J200" s="12">
        <f t="shared" si="6"/>
        <v>45318</v>
      </c>
      <c r="K200" s="14">
        <f t="shared" si="7"/>
        <v>1</v>
      </c>
      <c r="L200" s="13"/>
      <c r="M200" s="13"/>
    </row>
    <row r="201" spans="1:13" x14ac:dyDescent="0.25">
      <c r="A201" s="1" t="s">
        <v>295</v>
      </c>
      <c r="B201" s="1" t="s">
        <v>767</v>
      </c>
      <c r="C201" s="1" t="s">
        <v>768</v>
      </c>
      <c r="D201" s="1" t="s">
        <v>12</v>
      </c>
      <c r="E201" s="1" t="s">
        <v>769</v>
      </c>
      <c r="F201" s="1" t="s">
        <v>14</v>
      </c>
      <c r="G201" s="1" t="s">
        <v>23</v>
      </c>
      <c r="H201" s="1" t="s">
        <v>24</v>
      </c>
      <c r="I201" s="1">
        <v>0</v>
      </c>
      <c r="J201" s="12">
        <f t="shared" si="6"/>
        <v>45312</v>
      </c>
      <c r="K201" s="14">
        <f t="shared" si="7"/>
        <v>1</v>
      </c>
      <c r="L201" s="13"/>
      <c r="M201" s="13"/>
    </row>
    <row r="202" spans="1:13" x14ac:dyDescent="0.25">
      <c r="A202" s="1" t="s">
        <v>252</v>
      </c>
      <c r="B202" s="1" t="s">
        <v>770</v>
      </c>
      <c r="C202" s="1" t="s">
        <v>771</v>
      </c>
      <c r="D202" s="1" t="s">
        <v>45</v>
      </c>
      <c r="E202" s="1" t="s">
        <v>527</v>
      </c>
      <c r="F202" s="1" t="s">
        <v>40</v>
      </c>
      <c r="G202" s="1" t="s">
        <v>35</v>
      </c>
      <c r="H202" s="1" t="s">
        <v>30</v>
      </c>
      <c r="I202" s="1">
        <v>2542</v>
      </c>
      <c r="J202" s="12">
        <f t="shared" si="6"/>
        <v>45320</v>
      </c>
      <c r="K202" s="14">
        <f t="shared" si="7"/>
        <v>1</v>
      </c>
      <c r="L202" s="13"/>
      <c r="M202" s="13"/>
    </row>
    <row r="203" spans="1:13" x14ac:dyDescent="0.25">
      <c r="A203" s="1" t="s">
        <v>772</v>
      </c>
      <c r="B203" s="1" t="s">
        <v>773</v>
      </c>
      <c r="C203" s="1" t="s">
        <v>774</v>
      </c>
      <c r="D203" s="1" t="s">
        <v>45</v>
      </c>
      <c r="E203" s="1" t="s">
        <v>775</v>
      </c>
      <c r="F203" s="1" t="s">
        <v>75</v>
      </c>
      <c r="G203" s="1" t="s">
        <v>23</v>
      </c>
      <c r="H203" s="1" t="s">
        <v>55</v>
      </c>
      <c r="I203" s="1">
        <v>2677</v>
      </c>
      <c r="J203" s="12">
        <f t="shared" si="6"/>
        <v>45316</v>
      </c>
      <c r="K203" s="14">
        <f t="shared" si="7"/>
        <v>1</v>
      </c>
      <c r="L203" s="13"/>
      <c r="M203" s="13"/>
    </row>
    <row r="204" spans="1:13" x14ac:dyDescent="0.25">
      <c r="A204" s="1" t="s">
        <v>715</v>
      </c>
      <c r="B204" s="1" t="s">
        <v>776</v>
      </c>
      <c r="C204" s="1" t="s">
        <v>777</v>
      </c>
      <c r="D204" s="1" t="s">
        <v>20</v>
      </c>
      <c r="E204" s="1" t="s">
        <v>778</v>
      </c>
      <c r="F204" s="1" t="s">
        <v>14</v>
      </c>
      <c r="G204" s="1" t="s">
        <v>35</v>
      </c>
      <c r="H204" s="1" t="s">
        <v>41</v>
      </c>
      <c r="I204" s="1">
        <v>0</v>
      </c>
      <c r="J204" s="12">
        <f t="shared" si="6"/>
        <v>45305</v>
      </c>
      <c r="K204" s="14">
        <f t="shared" si="7"/>
        <v>1</v>
      </c>
      <c r="L204" s="13"/>
      <c r="M204" s="13"/>
    </row>
    <row r="205" spans="1:13" x14ac:dyDescent="0.25">
      <c r="A205" s="1" t="s">
        <v>779</v>
      </c>
      <c r="B205" s="1" t="s">
        <v>780</v>
      </c>
      <c r="C205" s="1" t="s">
        <v>781</v>
      </c>
      <c r="D205" s="1" t="s">
        <v>45</v>
      </c>
      <c r="E205" s="1" t="s">
        <v>782</v>
      </c>
      <c r="F205" s="1" t="s">
        <v>22</v>
      </c>
      <c r="G205" s="1" t="s">
        <v>23</v>
      </c>
      <c r="H205" s="1" t="s">
        <v>16</v>
      </c>
      <c r="I205" s="1">
        <v>2701</v>
      </c>
      <c r="J205" s="12">
        <f t="shared" si="6"/>
        <v>45316</v>
      </c>
      <c r="K205" s="14">
        <f t="shared" si="7"/>
        <v>1</v>
      </c>
      <c r="L205" s="13"/>
      <c r="M205" s="13"/>
    </row>
    <row r="206" spans="1:13" x14ac:dyDescent="0.25">
      <c r="A206" s="1" t="s">
        <v>783</v>
      </c>
      <c r="B206" s="1" t="s">
        <v>784</v>
      </c>
      <c r="C206" s="1" t="s">
        <v>785</v>
      </c>
      <c r="D206" s="1" t="s">
        <v>45</v>
      </c>
      <c r="E206" s="1" t="s">
        <v>564</v>
      </c>
      <c r="F206" s="1" t="s">
        <v>75</v>
      </c>
      <c r="G206" s="1" t="s">
        <v>35</v>
      </c>
      <c r="H206" s="1" t="s">
        <v>55</v>
      </c>
      <c r="I206" s="1">
        <v>4310</v>
      </c>
      <c r="J206" s="12">
        <f t="shared" si="6"/>
        <v>45313</v>
      </c>
      <c r="K206" s="14">
        <f t="shared" si="7"/>
        <v>1</v>
      </c>
      <c r="L206" s="13"/>
      <c r="M206" s="13"/>
    </row>
    <row r="207" spans="1:13" x14ac:dyDescent="0.25">
      <c r="A207" s="1" t="s">
        <v>786</v>
      </c>
      <c r="B207" s="1" t="s">
        <v>787</v>
      </c>
      <c r="C207" s="1" t="s">
        <v>788</v>
      </c>
      <c r="D207" s="1" t="s">
        <v>12</v>
      </c>
      <c r="E207" s="1" t="s">
        <v>789</v>
      </c>
      <c r="F207" s="1" t="s">
        <v>29</v>
      </c>
      <c r="G207" s="1" t="s">
        <v>23</v>
      </c>
      <c r="H207" s="1" t="s">
        <v>55</v>
      </c>
      <c r="I207" s="1">
        <v>0</v>
      </c>
      <c r="J207" s="12">
        <f t="shared" si="6"/>
        <v>45300</v>
      </c>
      <c r="K207" s="14">
        <f t="shared" si="7"/>
        <v>1</v>
      </c>
      <c r="L207" s="13"/>
      <c r="M207" s="13"/>
    </row>
    <row r="208" spans="1:13" x14ac:dyDescent="0.25">
      <c r="A208" s="1" t="s">
        <v>790</v>
      </c>
      <c r="B208" s="1" t="s">
        <v>791</v>
      </c>
      <c r="C208" s="1" t="s">
        <v>792</v>
      </c>
      <c r="D208" s="1" t="s">
        <v>12</v>
      </c>
      <c r="E208" s="1" t="s">
        <v>793</v>
      </c>
      <c r="F208" s="1" t="s">
        <v>75</v>
      </c>
      <c r="G208" s="1" t="s">
        <v>35</v>
      </c>
      <c r="H208" s="1" t="s">
        <v>30</v>
      </c>
      <c r="I208" s="1">
        <v>0</v>
      </c>
      <c r="J208" s="12">
        <f t="shared" si="6"/>
        <v>45312</v>
      </c>
      <c r="K208" s="14">
        <f t="shared" si="7"/>
        <v>1</v>
      </c>
      <c r="L208" s="13"/>
      <c r="M208" s="13"/>
    </row>
    <row r="209" spans="1:13" x14ac:dyDescent="0.25">
      <c r="A209" s="1" t="s">
        <v>794</v>
      </c>
      <c r="B209" s="1" t="s">
        <v>795</v>
      </c>
      <c r="C209" s="1" t="s">
        <v>796</v>
      </c>
      <c r="D209" s="1" t="s">
        <v>12</v>
      </c>
      <c r="E209" s="1" t="s">
        <v>193</v>
      </c>
      <c r="F209" s="1" t="s">
        <v>22</v>
      </c>
      <c r="G209" s="1" t="s">
        <v>15</v>
      </c>
      <c r="H209" s="1" t="s">
        <v>55</v>
      </c>
      <c r="I209" s="1">
        <v>0</v>
      </c>
      <c r="J209" s="12">
        <f t="shared" si="6"/>
        <v>45315</v>
      </c>
      <c r="K209" s="14">
        <f t="shared" si="7"/>
        <v>1</v>
      </c>
      <c r="L209" s="13"/>
      <c r="M209" s="13"/>
    </row>
    <row r="210" spans="1:13" x14ac:dyDescent="0.25">
      <c r="A210" s="1" t="s">
        <v>797</v>
      </c>
      <c r="B210" s="1" t="s">
        <v>798</v>
      </c>
      <c r="C210" s="1" t="s">
        <v>799</v>
      </c>
      <c r="D210" s="1" t="s">
        <v>45</v>
      </c>
      <c r="E210" s="1" t="s">
        <v>800</v>
      </c>
      <c r="F210" s="1" t="s">
        <v>40</v>
      </c>
      <c r="G210" s="1" t="s">
        <v>35</v>
      </c>
      <c r="H210" s="1" t="s">
        <v>16</v>
      </c>
      <c r="I210" s="1">
        <v>4698</v>
      </c>
      <c r="J210" s="12">
        <f t="shared" si="6"/>
        <v>45292</v>
      </c>
      <c r="K210" s="14">
        <f t="shared" si="7"/>
        <v>1</v>
      </c>
      <c r="L210" s="13"/>
      <c r="M210" s="13"/>
    </row>
    <row r="211" spans="1:13" x14ac:dyDescent="0.25">
      <c r="A211" s="1" t="s">
        <v>801</v>
      </c>
      <c r="B211" s="1" t="s">
        <v>802</v>
      </c>
      <c r="C211" s="1" t="s">
        <v>803</v>
      </c>
      <c r="D211" s="1" t="s">
        <v>12</v>
      </c>
      <c r="E211" s="1" t="s">
        <v>804</v>
      </c>
      <c r="F211" s="1" t="s">
        <v>40</v>
      </c>
      <c r="G211" s="1" t="s">
        <v>23</v>
      </c>
      <c r="H211" s="1" t="s">
        <v>55</v>
      </c>
      <c r="I211" s="1">
        <v>0</v>
      </c>
      <c r="J211" s="12">
        <f t="shared" si="6"/>
        <v>45305</v>
      </c>
      <c r="K211" s="14">
        <f t="shared" si="7"/>
        <v>1</v>
      </c>
      <c r="L211" s="13"/>
      <c r="M211" s="13"/>
    </row>
    <row r="212" spans="1:13" x14ac:dyDescent="0.25">
      <c r="A212" s="1" t="s">
        <v>805</v>
      </c>
      <c r="B212" s="1" t="s">
        <v>806</v>
      </c>
      <c r="C212" s="1" t="s">
        <v>807</v>
      </c>
      <c r="D212" s="1" t="s">
        <v>20</v>
      </c>
      <c r="E212" s="1" t="s">
        <v>808</v>
      </c>
      <c r="F212" s="1" t="s">
        <v>29</v>
      </c>
      <c r="G212" s="1" t="s">
        <v>15</v>
      </c>
      <c r="H212" s="1" t="s">
        <v>30</v>
      </c>
      <c r="I212" s="1">
        <v>0</v>
      </c>
      <c r="J212" s="12">
        <f t="shared" si="6"/>
        <v>45307</v>
      </c>
      <c r="K212" s="14">
        <f t="shared" si="7"/>
        <v>1</v>
      </c>
      <c r="L212" s="13"/>
      <c r="M212" s="13"/>
    </row>
    <row r="213" spans="1:13" x14ac:dyDescent="0.25">
      <c r="A213" s="1" t="s">
        <v>809</v>
      </c>
      <c r="B213" s="1" t="s">
        <v>810</v>
      </c>
      <c r="C213" s="1" t="s">
        <v>811</v>
      </c>
      <c r="D213" s="1" t="s">
        <v>45</v>
      </c>
      <c r="E213" s="1" t="s">
        <v>812</v>
      </c>
      <c r="F213" s="1" t="s">
        <v>14</v>
      </c>
      <c r="G213" s="1" t="s">
        <v>35</v>
      </c>
      <c r="H213" s="1" t="s">
        <v>30</v>
      </c>
      <c r="I213" s="1">
        <v>2087</v>
      </c>
      <c r="J213" s="12">
        <f t="shared" si="6"/>
        <v>45321</v>
      </c>
      <c r="K213" s="14">
        <f t="shared" si="7"/>
        <v>1</v>
      </c>
      <c r="L213" s="13"/>
      <c r="M213" s="13"/>
    </row>
    <row r="214" spans="1:13" x14ac:dyDescent="0.25">
      <c r="A214" s="1" t="s">
        <v>582</v>
      </c>
      <c r="B214" s="1" t="s">
        <v>813</v>
      </c>
      <c r="C214" s="1" t="s">
        <v>814</v>
      </c>
      <c r="D214" s="1" t="s">
        <v>45</v>
      </c>
      <c r="E214" s="1" t="s">
        <v>769</v>
      </c>
      <c r="F214" s="1" t="s">
        <v>22</v>
      </c>
      <c r="G214" s="1" t="s">
        <v>23</v>
      </c>
      <c r="H214" s="1" t="s">
        <v>55</v>
      </c>
      <c r="I214" s="1">
        <v>1618</v>
      </c>
      <c r="J214" s="12">
        <f t="shared" si="6"/>
        <v>45319</v>
      </c>
      <c r="K214" s="14">
        <f t="shared" si="7"/>
        <v>1</v>
      </c>
      <c r="L214" s="13"/>
      <c r="M214" s="13"/>
    </row>
    <row r="215" spans="1:13" x14ac:dyDescent="0.25">
      <c r="A215" s="1" t="s">
        <v>815</v>
      </c>
      <c r="B215" s="1" t="s">
        <v>755</v>
      </c>
      <c r="C215" s="1" t="s">
        <v>816</v>
      </c>
      <c r="D215" s="1" t="s">
        <v>20</v>
      </c>
      <c r="E215" s="1" t="s">
        <v>817</v>
      </c>
      <c r="F215" s="1" t="s">
        <v>75</v>
      </c>
      <c r="G215" s="1" t="s">
        <v>15</v>
      </c>
      <c r="H215" s="1" t="s">
        <v>55</v>
      </c>
      <c r="I215" s="1">
        <v>0</v>
      </c>
      <c r="J215" s="12">
        <f t="shared" si="6"/>
        <v>45325</v>
      </c>
      <c r="K215" s="14">
        <f t="shared" si="7"/>
        <v>2</v>
      </c>
      <c r="L215" s="13"/>
      <c r="M215" s="13"/>
    </row>
    <row r="216" spans="1:13" x14ac:dyDescent="0.25">
      <c r="A216" s="1" t="s">
        <v>818</v>
      </c>
      <c r="B216" s="1" t="s">
        <v>819</v>
      </c>
      <c r="C216" s="1" t="s">
        <v>820</v>
      </c>
      <c r="D216" s="1" t="s">
        <v>12</v>
      </c>
      <c r="E216" s="1" t="s">
        <v>821</v>
      </c>
      <c r="F216" s="1" t="s">
        <v>40</v>
      </c>
      <c r="G216" s="1" t="s">
        <v>23</v>
      </c>
      <c r="H216" s="1" t="s">
        <v>24</v>
      </c>
      <c r="I216" s="1">
        <v>0</v>
      </c>
      <c r="J216" s="12">
        <f t="shared" si="6"/>
        <v>45298</v>
      </c>
      <c r="K216" s="14">
        <f t="shared" si="7"/>
        <v>1</v>
      </c>
      <c r="L216" s="13"/>
      <c r="M216" s="13"/>
    </row>
    <row r="217" spans="1:13" x14ac:dyDescent="0.25">
      <c r="A217" s="1" t="s">
        <v>104</v>
      </c>
      <c r="B217" s="1" t="s">
        <v>822</v>
      </c>
      <c r="C217" s="1" t="s">
        <v>823</v>
      </c>
      <c r="D217" s="1" t="s">
        <v>20</v>
      </c>
      <c r="E217" s="1" t="s">
        <v>824</v>
      </c>
      <c r="F217" s="1" t="s">
        <v>14</v>
      </c>
      <c r="G217" s="1" t="s">
        <v>15</v>
      </c>
      <c r="H217" s="1" t="s">
        <v>41</v>
      </c>
      <c r="I217" s="1">
        <v>0</v>
      </c>
      <c r="J217" s="12">
        <f t="shared" si="6"/>
        <v>45314</v>
      </c>
      <c r="K217" s="14">
        <f t="shared" si="7"/>
        <v>1</v>
      </c>
      <c r="L217" s="13"/>
      <c r="M217" s="13"/>
    </row>
    <row r="218" spans="1:13" x14ac:dyDescent="0.25">
      <c r="A218" s="1" t="s">
        <v>825</v>
      </c>
      <c r="B218" s="1" t="s">
        <v>826</v>
      </c>
      <c r="C218" s="1" t="s">
        <v>827</v>
      </c>
      <c r="D218" s="1" t="s">
        <v>12</v>
      </c>
      <c r="E218" s="1" t="s">
        <v>696</v>
      </c>
      <c r="F218" s="1" t="s">
        <v>22</v>
      </c>
      <c r="G218" s="1" t="s">
        <v>35</v>
      </c>
      <c r="H218" s="1" t="s">
        <v>24</v>
      </c>
      <c r="I218" s="1">
        <v>0</v>
      </c>
      <c r="J218" s="12">
        <f t="shared" si="6"/>
        <v>45308</v>
      </c>
      <c r="K218" s="14">
        <f t="shared" si="7"/>
        <v>1</v>
      </c>
      <c r="L218" s="13"/>
      <c r="M218" s="13"/>
    </row>
    <row r="219" spans="1:13" x14ac:dyDescent="0.25">
      <c r="A219" s="1" t="s">
        <v>828</v>
      </c>
      <c r="B219" s="1" t="s">
        <v>829</v>
      </c>
      <c r="C219" s="1" t="s">
        <v>830</v>
      </c>
      <c r="D219" s="1" t="s">
        <v>20</v>
      </c>
      <c r="E219" s="1" t="s">
        <v>831</v>
      </c>
      <c r="F219" s="1" t="s">
        <v>22</v>
      </c>
      <c r="G219" s="1" t="s">
        <v>35</v>
      </c>
      <c r="H219" s="1" t="s">
        <v>24</v>
      </c>
      <c r="I219" s="1">
        <v>0</v>
      </c>
      <c r="J219" s="12">
        <f t="shared" si="6"/>
        <v>45314</v>
      </c>
      <c r="K219" s="14">
        <f t="shared" si="7"/>
        <v>1</v>
      </c>
      <c r="L219" s="13"/>
      <c r="M219" s="13"/>
    </row>
    <row r="220" spans="1:13" x14ac:dyDescent="0.25">
      <c r="A220" s="1" t="s">
        <v>832</v>
      </c>
      <c r="B220" s="1" t="s">
        <v>68</v>
      </c>
      <c r="C220" s="1" t="s">
        <v>833</v>
      </c>
      <c r="D220" s="1" t="s">
        <v>20</v>
      </c>
      <c r="E220" s="1" t="s">
        <v>107</v>
      </c>
      <c r="F220" s="1" t="s">
        <v>75</v>
      </c>
      <c r="G220" s="1" t="s">
        <v>15</v>
      </c>
      <c r="H220" s="1" t="s">
        <v>16</v>
      </c>
      <c r="I220" s="1">
        <v>0</v>
      </c>
      <c r="J220" s="12">
        <f t="shared" si="6"/>
        <v>45293</v>
      </c>
      <c r="K220" s="14">
        <f t="shared" si="7"/>
        <v>1</v>
      </c>
      <c r="L220" s="13"/>
      <c r="M220" s="13"/>
    </row>
    <row r="221" spans="1:13" x14ac:dyDescent="0.25">
      <c r="A221" s="1" t="s">
        <v>834</v>
      </c>
      <c r="B221" s="1" t="s">
        <v>835</v>
      </c>
      <c r="C221" s="1" t="s">
        <v>836</v>
      </c>
      <c r="D221" s="1" t="s">
        <v>12</v>
      </c>
      <c r="E221" s="1" t="s">
        <v>837</v>
      </c>
      <c r="F221" s="1" t="s">
        <v>40</v>
      </c>
      <c r="G221" s="1" t="s">
        <v>15</v>
      </c>
      <c r="H221" s="1" t="s">
        <v>30</v>
      </c>
      <c r="I221" s="1">
        <v>0</v>
      </c>
      <c r="J221" s="12">
        <f t="shared" si="6"/>
        <v>45308</v>
      </c>
      <c r="K221" s="14">
        <f t="shared" si="7"/>
        <v>1</v>
      </c>
      <c r="L221" s="13"/>
      <c r="M221" s="13"/>
    </row>
    <row r="222" spans="1:13" x14ac:dyDescent="0.25">
      <c r="A222" s="1" t="s">
        <v>838</v>
      </c>
      <c r="B222" s="1" t="s">
        <v>839</v>
      </c>
      <c r="C222" s="1" t="s">
        <v>840</v>
      </c>
      <c r="D222" s="1" t="s">
        <v>45</v>
      </c>
      <c r="E222" s="1" t="s">
        <v>841</v>
      </c>
      <c r="F222" s="1" t="s">
        <v>29</v>
      </c>
      <c r="G222" s="1" t="s">
        <v>23</v>
      </c>
      <c r="H222" s="1" t="s">
        <v>16</v>
      </c>
      <c r="I222" s="1">
        <v>617</v>
      </c>
      <c r="J222" s="12">
        <f t="shared" si="6"/>
        <v>45295</v>
      </c>
      <c r="K222" s="14">
        <f t="shared" si="7"/>
        <v>1</v>
      </c>
      <c r="L222" s="13"/>
      <c r="M222" s="13"/>
    </row>
    <row r="223" spans="1:13" x14ac:dyDescent="0.25">
      <c r="A223" s="1" t="s">
        <v>842</v>
      </c>
      <c r="B223" s="1" t="s">
        <v>843</v>
      </c>
      <c r="C223" s="1" t="s">
        <v>844</v>
      </c>
      <c r="D223" s="1" t="s">
        <v>20</v>
      </c>
      <c r="E223" s="1" t="s">
        <v>845</v>
      </c>
      <c r="F223" s="1" t="s">
        <v>22</v>
      </c>
      <c r="G223" s="1" t="s">
        <v>23</v>
      </c>
      <c r="H223" s="1" t="s">
        <v>16</v>
      </c>
      <c r="I223" s="1">
        <v>0</v>
      </c>
      <c r="J223" s="12">
        <f t="shared" si="6"/>
        <v>45293</v>
      </c>
      <c r="K223" s="14">
        <f t="shared" si="7"/>
        <v>1</v>
      </c>
      <c r="L223" s="13"/>
      <c r="M223" s="13"/>
    </row>
    <row r="224" spans="1:13" x14ac:dyDescent="0.25">
      <c r="A224" s="1" t="s">
        <v>846</v>
      </c>
      <c r="B224" s="1" t="s">
        <v>847</v>
      </c>
      <c r="C224" s="1" t="s">
        <v>848</v>
      </c>
      <c r="D224" s="1" t="s">
        <v>45</v>
      </c>
      <c r="E224" s="1" t="s">
        <v>849</v>
      </c>
      <c r="F224" s="1" t="s">
        <v>75</v>
      </c>
      <c r="G224" s="1" t="s">
        <v>35</v>
      </c>
      <c r="H224" s="1" t="s">
        <v>41</v>
      </c>
      <c r="I224" s="1">
        <v>1244</v>
      </c>
      <c r="J224" s="12">
        <f t="shared" si="6"/>
        <v>45320</v>
      </c>
      <c r="K224" s="14">
        <f t="shared" si="7"/>
        <v>1</v>
      </c>
      <c r="L224" s="13"/>
      <c r="M224" s="13"/>
    </row>
    <row r="225" spans="1:13" x14ac:dyDescent="0.25">
      <c r="A225" s="1" t="s">
        <v>850</v>
      </c>
      <c r="B225" s="1" t="s">
        <v>851</v>
      </c>
      <c r="C225" s="1" t="s">
        <v>852</v>
      </c>
      <c r="D225" s="1" t="s">
        <v>20</v>
      </c>
      <c r="E225" s="1" t="s">
        <v>853</v>
      </c>
      <c r="F225" s="1" t="s">
        <v>40</v>
      </c>
      <c r="G225" s="1" t="s">
        <v>35</v>
      </c>
      <c r="H225" s="1" t="s">
        <v>30</v>
      </c>
      <c r="I225" s="1">
        <v>0</v>
      </c>
      <c r="J225" s="12">
        <f t="shared" si="6"/>
        <v>45293</v>
      </c>
      <c r="K225" s="14">
        <f t="shared" si="7"/>
        <v>1</v>
      </c>
      <c r="L225" s="13"/>
      <c r="M225" s="13"/>
    </row>
    <row r="226" spans="1:13" x14ac:dyDescent="0.25">
      <c r="A226" s="1" t="s">
        <v>517</v>
      </c>
      <c r="B226" s="1" t="s">
        <v>854</v>
      </c>
      <c r="C226" s="1" t="s">
        <v>855</v>
      </c>
      <c r="D226" s="1" t="s">
        <v>12</v>
      </c>
      <c r="E226" s="1" t="s">
        <v>856</v>
      </c>
      <c r="F226" s="1" t="s">
        <v>14</v>
      </c>
      <c r="G226" s="1" t="s">
        <v>35</v>
      </c>
      <c r="H226" s="1" t="s">
        <v>16</v>
      </c>
      <c r="I226" s="1">
        <v>0</v>
      </c>
      <c r="J226" s="12">
        <f t="shared" si="6"/>
        <v>45299</v>
      </c>
      <c r="K226" s="14">
        <f t="shared" si="7"/>
        <v>1</v>
      </c>
      <c r="L226" s="13"/>
      <c r="M226" s="13"/>
    </row>
    <row r="227" spans="1:13" x14ac:dyDescent="0.25">
      <c r="A227" s="1" t="s">
        <v>772</v>
      </c>
      <c r="B227" s="1" t="s">
        <v>857</v>
      </c>
      <c r="C227" s="1" t="s">
        <v>858</v>
      </c>
      <c r="D227" s="1" t="s">
        <v>45</v>
      </c>
      <c r="E227" s="1" t="s">
        <v>859</v>
      </c>
      <c r="F227" s="1" t="s">
        <v>29</v>
      </c>
      <c r="G227" s="1" t="s">
        <v>15</v>
      </c>
      <c r="H227" s="1" t="s">
        <v>55</v>
      </c>
      <c r="I227" s="1">
        <v>560</v>
      </c>
      <c r="J227" s="12">
        <f t="shared" si="6"/>
        <v>45298</v>
      </c>
      <c r="K227" s="14">
        <f t="shared" si="7"/>
        <v>1</v>
      </c>
      <c r="L227" s="13"/>
      <c r="M227" s="13"/>
    </row>
    <row r="228" spans="1:13" x14ac:dyDescent="0.25">
      <c r="A228" s="1" t="s">
        <v>860</v>
      </c>
      <c r="B228" s="1" t="s">
        <v>32</v>
      </c>
      <c r="C228" s="1" t="s">
        <v>861</v>
      </c>
      <c r="D228" s="1" t="s">
        <v>20</v>
      </c>
      <c r="E228" s="1" t="s">
        <v>862</v>
      </c>
      <c r="F228" s="1" t="s">
        <v>14</v>
      </c>
      <c r="G228" s="1" t="s">
        <v>35</v>
      </c>
      <c r="H228" s="1" t="s">
        <v>30</v>
      </c>
      <c r="I228" s="1">
        <v>0</v>
      </c>
      <c r="J228" s="12">
        <f t="shared" si="6"/>
        <v>45318</v>
      </c>
      <c r="K228" s="14">
        <f t="shared" si="7"/>
        <v>1</v>
      </c>
      <c r="L228" s="13"/>
      <c r="M228" s="13"/>
    </row>
    <row r="229" spans="1:13" x14ac:dyDescent="0.25">
      <c r="A229" s="1" t="s">
        <v>542</v>
      </c>
      <c r="B229" s="1" t="s">
        <v>863</v>
      </c>
      <c r="C229" s="1" t="s">
        <v>864</v>
      </c>
      <c r="D229" s="1" t="s">
        <v>20</v>
      </c>
      <c r="E229" s="1" t="s">
        <v>865</v>
      </c>
      <c r="F229" s="1" t="s">
        <v>29</v>
      </c>
      <c r="G229" s="1" t="s">
        <v>15</v>
      </c>
      <c r="H229" s="1" t="s">
        <v>30</v>
      </c>
      <c r="I229" s="1">
        <v>0</v>
      </c>
      <c r="J229" s="12">
        <f t="shared" si="6"/>
        <v>45319</v>
      </c>
      <c r="K229" s="14">
        <f t="shared" si="7"/>
        <v>1</v>
      </c>
      <c r="L229" s="13"/>
      <c r="M229" s="13"/>
    </row>
    <row r="230" spans="1:13" x14ac:dyDescent="0.25">
      <c r="A230" s="1" t="s">
        <v>866</v>
      </c>
      <c r="B230" s="1" t="s">
        <v>867</v>
      </c>
      <c r="C230" s="1" t="s">
        <v>868</v>
      </c>
      <c r="D230" s="1" t="s">
        <v>20</v>
      </c>
      <c r="E230" s="1" t="s">
        <v>869</v>
      </c>
      <c r="F230" s="1" t="s">
        <v>29</v>
      </c>
      <c r="G230" s="1" t="s">
        <v>15</v>
      </c>
      <c r="H230" s="1" t="s">
        <v>16</v>
      </c>
      <c r="I230" s="1">
        <v>0</v>
      </c>
      <c r="J230" s="12">
        <f t="shared" si="6"/>
        <v>45314</v>
      </c>
      <c r="K230" s="14">
        <f t="shared" si="7"/>
        <v>1</v>
      </c>
      <c r="L230" s="13"/>
      <c r="M230" s="13"/>
    </row>
    <row r="231" spans="1:13" x14ac:dyDescent="0.25">
      <c r="A231" s="1" t="s">
        <v>870</v>
      </c>
      <c r="B231" s="1" t="s">
        <v>871</v>
      </c>
      <c r="C231" s="1" t="s">
        <v>872</v>
      </c>
      <c r="D231" s="1" t="s">
        <v>45</v>
      </c>
      <c r="E231" s="1" t="s">
        <v>873</v>
      </c>
      <c r="F231" s="1" t="s">
        <v>22</v>
      </c>
      <c r="G231" s="1" t="s">
        <v>23</v>
      </c>
      <c r="H231" s="1" t="s">
        <v>24</v>
      </c>
      <c r="I231" s="1">
        <v>1210</v>
      </c>
      <c r="J231" s="12">
        <f t="shared" si="6"/>
        <v>45301</v>
      </c>
      <c r="K231" s="14">
        <f t="shared" si="7"/>
        <v>1</v>
      </c>
      <c r="L231" s="13"/>
      <c r="M231" s="13"/>
    </row>
    <row r="232" spans="1:13" x14ac:dyDescent="0.25">
      <c r="A232" s="1" t="s">
        <v>874</v>
      </c>
      <c r="B232" s="1" t="s">
        <v>875</v>
      </c>
      <c r="C232" s="1" t="s">
        <v>876</v>
      </c>
      <c r="D232" s="1" t="s">
        <v>45</v>
      </c>
      <c r="E232" s="1" t="s">
        <v>877</v>
      </c>
      <c r="F232" s="1" t="s">
        <v>22</v>
      </c>
      <c r="G232" s="1" t="s">
        <v>23</v>
      </c>
      <c r="H232" s="1" t="s">
        <v>24</v>
      </c>
      <c r="I232" s="1">
        <v>1347</v>
      </c>
      <c r="J232" s="12">
        <f t="shared" si="6"/>
        <v>45295</v>
      </c>
      <c r="K232" s="14">
        <f t="shared" si="7"/>
        <v>1</v>
      </c>
      <c r="L232" s="13"/>
      <c r="M232" s="13"/>
    </row>
    <row r="233" spans="1:13" x14ac:dyDescent="0.25">
      <c r="A233" s="1" t="s">
        <v>878</v>
      </c>
      <c r="B233" s="1" t="s">
        <v>879</v>
      </c>
      <c r="C233" s="1" t="s">
        <v>880</v>
      </c>
      <c r="D233" s="1" t="s">
        <v>45</v>
      </c>
      <c r="E233" s="1" t="s">
        <v>881</v>
      </c>
      <c r="F233" s="1" t="s">
        <v>29</v>
      </c>
      <c r="G233" s="1" t="s">
        <v>35</v>
      </c>
      <c r="H233" s="1" t="s">
        <v>24</v>
      </c>
      <c r="I233" s="1">
        <v>4253</v>
      </c>
      <c r="J233" s="12">
        <f t="shared" si="6"/>
        <v>45301</v>
      </c>
      <c r="K233" s="14">
        <f t="shared" si="7"/>
        <v>1</v>
      </c>
      <c r="L233" s="13"/>
      <c r="M233" s="13"/>
    </row>
    <row r="234" spans="1:13" x14ac:dyDescent="0.25">
      <c r="A234" s="1" t="s">
        <v>882</v>
      </c>
      <c r="B234" s="1" t="s">
        <v>883</v>
      </c>
      <c r="C234" s="1" t="s">
        <v>884</v>
      </c>
      <c r="D234" s="1" t="s">
        <v>20</v>
      </c>
      <c r="E234" s="1" t="s">
        <v>885</v>
      </c>
      <c r="F234" s="1" t="s">
        <v>22</v>
      </c>
      <c r="G234" s="1" t="s">
        <v>35</v>
      </c>
      <c r="H234" s="1" t="s">
        <v>16</v>
      </c>
      <c r="I234" s="1">
        <v>0</v>
      </c>
      <c r="J234" s="12">
        <f t="shared" si="6"/>
        <v>45317</v>
      </c>
      <c r="K234" s="14">
        <f t="shared" si="7"/>
        <v>1</v>
      </c>
      <c r="L234" s="13"/>
      <c r="M234" s="13"/>
    </row>
    <row r="235" spans="1:13" x14ac:dyDescent="0.25">
      <c r="A235" s="1" t="s">
        <v>886</v>
      </c>
      <c r="B235" s="1" t="s">
        <v>887</v>
      </c>
      <c r="C235" s="1" t="s">
        <v>888</v>
      </c>
      <c r="D235" s="1" t="s">
        <v>20</v>
      </c>
      <c r="E235" s="1" t="s">
        <v>889</v>
      </c>
      <c r="F235" s="1" t="s">
        <v>40</v>
      </c>
      <c r="G235" s="1" t="s">
        <v>23</v>
      </c>
      <c r="H235" s="1" t="s">
        <v>41</v>
      </c>
      <c r="I235" s="1">
        <v>0</v>
      </c>
      <c r="J235" s="12">
        <f t="shared" si="6"/>
        <v>45320</v>
      </c>
      <c r="K235" s="14">
        <f t="shared" si="7"/>
        <v>1</v>
      </c>
      <c r="L235" s="13"/>
      <c r="M235" s="13"/>
    </row>
    <row r="236" spans="1:13" x14ac:dyDescent="0.25">
      <c r="A236" s="1" t="s">
        <v>400</v>
      </c>
      <c r="B236" s="1" t="s">
        <v>890</v>
      </c>
      <c r="C236" s="1" t="s">
        <v>891</v>
      </c>
      <c r="D236" s="1" t="s">
        <v>12</v>
      </c>
      <c r="E236" s="1" t="s">
        <v>577</v>
      </c>
      <c r="F236" s="1" t="s">
        <v>40</v>
      </c>
      <c r="G236" s="1" t="s">
        <v>35</v>
      </c>
      <c r="H236" s="1" t="s">
        <v>55</v>
      </c>
      <c r="I236" s="1">
        <v>0</v>
      </c>
      <c r="J236" s="12">
        <f t="shared" si="6"/>
        <v>45304</v>
      </c>
      <c r="K236" s="14">
        <f t="shared" si="7"/>
        <v>1</v>
      </c>
      <c r="L236" s="13"/>
      <c r="M236" s="13"/>
    </row>
    <row r="237" spans="1:13" x14ac:dyDescent="0.25">
      <c r="A237" s="1" t="s">
        <v>892</v>
      </c>
      <c r="B237" s="1" t="s">
        <v>893</v>
      </c>
      <c r="C237" s="1" t="s">
        <v>894</v>
      </c>
      <c r="D237" s="1" t="s">
        <v>45</v>
      </c>
      <c r="E237" s="1" t="s">
        <v>895</v>
      </c>
      <c r="F237" s="1" t="s">
        <v>14</v>
      </c>
      <c r="G237" s="1" t="s">
        <v>35</v>
      </c>
      <c r="H237" s="1" t="s">
        <v>16</v>
      </c>
      <c r="I237" s="1">
        <v>1753</v>
      </c>
      <c r="J237" s="12">
        <f t="shared" si="6"/>
        <v>45321</v>
      </c>
      <c r="K237" s="14">
        <f t="shared" si="7"/>
        <v>1</v>
      </c>
      <c r="L237" s="13"/>
      <c r="M237" s="13"/>
    </row>
    <row r="238" spans="1:13" x14ac:dyDescent="0.25">
      <c r="A238" s="1" t="s">
        <v>896</v>
      </c>
      <c r="B238" s="1" t="s">
        <v>897</v>
      </c>
      <c r="C238" s="1" t="s">
        <v>898</v>
      </c>
      <c r="D238" s="1" t="s">
        <v>20</v>
      </c>
      <c r="E238" s="1" t="s">
        <v>899</v>
      </c>
      <c r="F238" s="1" t="s">
        <v>40</v>
      </c>
      <c r="G238" s="1" t="s">
        <v>15</v>
      </c>
      <c r="H238" s="1" t="s">
        <v>30</v>
      </c>
      <c r="I238" s="1">
        <v>0</v>
      </c>
      <c r="J238" s="12">
        <f t="shared" si="6"/>
        <v>45322</v>
      </c>
      <c r="K238" s="14">
        <f t="shared" si="7"/>
        <v>1</v>
      </c>
      <c r="L238" s="13"/>
      <c r="M238" s="13"/>
    </row>
    <row r="239" spans="1:13" x14ac:dyDescent="0.25">
      <c r="A239" s="1" t="s">
        <v>900</v>
      </c>
      <c r="B239" s="1" t="s">
        <v>901</v>
      </c>
      <c r="C239" s="1" t="s">
        <v>902</v>
      </c>
      <c r="D239" s="1" t="s">
        <v>20</v>
      </c>
      <c r="E239" s="1" t="s">
        <v>903</v>
      </c>
      <c r="F239" s="1" t="s">
        <v>40</v>
      </c>
      <c r="G239" s="1" t="s">
        <v>15</v>
      </c>
      <c r="H239" s="1" t="s">
        <v>30</v>
      </c>
      <c r="I239" s="1">
        <v>0</v>
      </c>
      <c r="J239" s="12">
        <f t="shared" si="6"/>
        <v>45318</v>
      </c>
      <c r="K239" s="14">
        <f t="shared" si="7"/>
        <v>1</v>
      </c>
      <c r="L239" s="13"/>
      <c r="M239" s="13"/>
    </row>
    <row r="240" spans="1:13" x14ac:dyDescent="0.25">
      <c r="A240" s="1" t="s">
        <v>904</v>
      </c>
      <c r="B240" s="1" t="s">
        <v>905</v>
      </c>
      <c r="C240" s="1" t="s">
        <v>906</v>
      </c>
      <c r="D240" s="1" t="s">
        <v>45</v>
      </c>
      <c r="E240" s="1" t="s">
        <v>907</v>
      </c>
      <c r="F240" s="1" t="s">
        <v>75</v>
      </c>
      <c r="G240" s="1" t="s">
        <v>35</v>
      </c>
      <c r="H240" s="1" t="s">
        <v>41</v>
      </c>
      <c r="I240" s="1">
        <v>4216</v>
      </c>
      <c r="J240" s="12">
        <f t="shared" si="6"/>
        <v>45302</v>
      </c>
      <c r="K240" s="14">
        <f t="shared" si="7"/>
        <v>1</v>
      </c>
      <c r="L240" s="13"/>
      <c r="M240" s="13"/>
    </row>
    <row r="241" spans="1:13" x14ac:dyDescent="0.25">
      <c r="A241" s="1" t="s">
        <v>730</v>
      </c>
      <c r="B241" s="1" t="s">
        <v>908</v>
      </c>
      <c r="C241" s="1" t="s">
        <v>909</v>
      </c>
      <c r="D241" s="1" t="s">
        <v>45</v>
      </c>
      <c r="E241" s="1" t="s">
        <v>910</v>
      </c>
      <c r="F241" s="1" t="s">
        <v>14</v>
      </c>
      <c r="G241" s="1" t="s">
        <v>35</v>
      </c>
      <c r="H241" s="1" t="s">
        <v>55</v>
      </c>
      <c r="I241" s="1">
        <v>2735</v>
      </c>
      <c r="J241" s="12">
        <f t="shared" si="6"/>
        <v>45304</v>
      </c>
      <c r="K241" s="14">
        <f t="shared" si="7"/>
        <v>1</v>
      </c>
      <c r="L241" s="13"/>
      <c r="M241" s="13"/>
    </row>
    <row r="242" spans="1:13" x14ac:dyDescent="0.25">
      <c r="A242" s="1" t="s">
        <v>911</v>
      </c>
      <c r="B242" s="1" t="s">
        <v>912</v>
      </c>
      <c r="C242" s="1" t="s">
        <v>913</v>
      </c>
      <c r="D242" s="1" t="s">
        <v>20</v>
      </c>
      <c r="E242" s="1" t="s">
        <v>914</v>
      </c>
      <c r="F242" s="1" t="s">
        <v>14</v>
      </c>
      <c r="G242" s="1" t="s">
        <v>15</v>
      </c>
      <c r="H242" s="1" t="s">
        <v>30</v>
      </c>
      <c r="I242" s="1">
        <v>0</v>
      </c>
      <c r="J242" s="12">
        <f t="shared" si="6"/>
        <v>45322</v>
      </c>
      <c r="K242" s="14">
        <f t="shared" si="7"/>
        <v>1</v>
      </c>
      <c r="L242" s="13"/>
      <c r="M242" s="13"/>
    </row>
    <row r="243" spans="1:13" x14ac:dyDescent="0.25">
      <c r="A243" s="1" t="s">
        <v>915</v>
      </c>
      <c r="B243" s="1" t="s">
        <v>916</v>
      </c>
      <c r="C243" s="1" t="s">
        <v>917</v>
      </c>
      <c r="D243" s="1" t="s">
        <v>12</v>
      </c>
      <c r="E243" s="1" t="s">
        <v>918</v>
      </c>
      <c r="F243" s="1" t="s">
        <v>29</v>
      </c>
      <c r="G243" s="1" t="s">
        <v>15</v>
      </c>
      <c r="H243" s="1" t="s">
        <v>41</v>
      </c>
      <c r="I243" s="1">
        <v>0</v>
      </c>
      <c r="J243" s="12">
        <f t="shared" si="6"/>
        <v>45311</v>
      </c>
      <c r="K243" s="14">
        <f t="shared" si="7"/>
        <v>1</v>
      </c>
      <c r="L243" s="13"/>
      <c r="M243" s="13"/>
    </row>
    <row r="244" spans="1:13" x14ac:dyDescent="0.25">
      <c r="A244" s="1" t="s">
        <v>919</v>
      </c>
      <c r="B244" s="1" t="s">
        <v>920</v>
      </c>
      <c r="C244" s="1" t="s">
        <v>921</v>
      </c>
      <c r="D244" s="1" t="s">
        <v>20</v>
      </c>
      <c r="E244" s="1" t="s">
        <v>922</v>
      </c>
      <c r="F244" s="1" t="s">
        <v>14</v>
      </c>
      <c r="G244" s="1" t="s">
        <v>35</v>
      </c>
      <c r="H244" s="1" t="s">
        <v>24</v>
      </c>
      <c r="I244" s="1">
        <v>0</v>
      </c>
      <c r="J244" s="12">
        <f t="shared" si="6"/>
        <v>45292</v>
      </c>
      <c r="K244" s="14">
        <f t="shared" si="7"/>
        <v>1</v>
      </c>
      <c r="L244" s="13"/>
      <c r="M244" s="13"/>
    </row>
    <row r="245" spans="1:13" x14ac:dyDescent="0.25">
      <c r="A245" s="1" t="s">
        <v>900</v>
      </c>
      <c r="B245" s="1" t="s">
        <v>923</v>
      </c>
      <c r="C245" s="1" t="s">
        <v>924</v>
      </c>
      <c r="D245" s="1" t="s">
        <v>45</v>
      </c>
      <c r="E245" s="1" t="s">
        <v>925</v>
      </c>
      <c r="F245" s="1" t="s">
        <v>29</v>
      </c>
      <c r="G245" s="1" t="s">
        <v>15</v>
      </c>
      <c r="H245" s="1" t="s">
        <v>55</v>
      </c>
      <c r="I245" s="1">
        <v>2199</v>
      </c>
      <c r="J245" s="12">
        <f t="shared" si="6"/>
        <v>45304</v>
      </c>
      <c r="K245" s="14">
        <f t="shared" si="7"/>
        <v>1</v>
      </c>
      <c r="L245" s="13"/>
      <c r="M245" s="13"/>
    </row>
    <row r="246" spans="1:13" x14ac:dyDescent="0.25">
      <c r="A246" s="1" t="s">
        <v>926</v>
      </c>
      <c r="B246" s="1" t="s">
        <v>927</v>
      </c>
      <c r="C246" s="1" t="s">
        <v>928</v>
      </c>
      <c r="D246" s="1" t="s">
        <v>45</v>
      </c>
      <c r="E246" s="1" t="s">
        <v>929</v>
      </c>
      <c r="F246" s="1" t="s">
        <v>75</v>
      </c>
      <c r="G246" s="1" t="s">
        <v>23</v>
      </c>
      <c r="H246" s="1" t="s">
        <v>55</v>
      </c>
      <c r="I246" s="1">
        <v>835</v>
      </c>
      <c r="J246" s="12">
        <f t="shared" si="6"/>
        <v>45308</v>
      </c>
      <c r="K246" s="14">
        <f t="shared" si="7"/>
        <v>1</v>
      </c>
      <c r="L246" s="13"/>
      <c r="M246" s="13"/>
    </row>
    <row r="247" spans="1:13" x14ac:dyDescent="0.25">
      <c r="A247" s="1" t="s">
        <v>930</v>
      </c>
      <c r="B247" s="1" t="s">
        <v>931</v>
      </c>
      <c r="C247" s="1" t="s">
        <v>932</v>
      </c>
      <c r="D247" s="1" t="s">
        <v>20</v>
      </c>
      <c r="E247" s="1" t="s">
        <v>933</v>
      </c>
      <c r="F247" s="1" t="s">
        <v>14</v>
      </c>
      <c r="G247" s="1" t="s">
        <v>35</v>
      </c>
      <c r="H247" s="1" t="s">
        <v>30</v>
      </c>
      <c r="I247" s="1">
        <v>0</v>
      </c>
      <c r="J247" s="12">
        <f t="shared" si="6"/>
        <v>45312</v>
      </c>
      <c r="K247" s="14">
        <f t="shared" si="7"/>
        <v>1</v>
      </c>
      <c r="L247" s="13"/>
      <c r="M247" s="13"/>
    </row>
    <row r="248" spans="1:13" x14ac:dyDescent="0.25">
      <c r="A248" s="1" t="s">
        <v>934</v>
      </c>
      <c r="B248" s="1" t="s">
        <v>935</v>
      </c>
      <c r="C248" s="1" t="s">
        <v>936</v>
      </c>
      <c r="D248" s="1" t="s">
        <v>20</v>
      </c>
      <c r="E248" s="1" t="s">
        <v>937</v>
      </c>
      <c r="F248" s="1" t="s">
        <v>40</v>
      </c>
      <c r="G248" s="1" t="s">
        <v>23</v>
      </c>
      <c r="H248" s="1" t="s">
        <v>24</v>
      </c>
      <c r="I248" s="1">
        <v>0</v>
      </c>
      <c r="J248" s="12">
        <f t="shared" si="6"/>
        <v>45324</v>
      </c>
      <c r="K248" s="14">
        <f t="shared" si="7"/>
        <v>2</v>
      </c>
      <c r="L248" s="13"/>
      <c r="M248" s="13"/>
    </row>
    <row r="249" spans="1:13" x14ac:dyDescent="0.25">
      <c r="A249" s="1" t="s">
        <v>938</v>
      </c>
      <c r="B249" s="1" t="s">
        <v>939</v>
      </c>
      <c r="C249" s="1" t="s">
        <v>940</v>
      </c>
      <c r="D249" s="1" t="s">
        <v>20</v>
      </c>
      <c r="E249" s="1" t="s">
        <v>83</v>
      </c>
      <c r="F249" s="1" t="s">
        <v>40</v>
      </c>
      <c r="G249" s="1" t="s">
        <v>23</v>
      </c>
      <c r="H249" s="1" t="s">
        <v>30</v>
      </c>
      <c r="I249" s="1">
        <v>0</v>
      </c>
      <c r="J249" s="12">
        <f t="shared" si="6"/>
        <v>45318</v>
      </c>
      <c r="K249" s="14">
        <f t="shared" si="7"/>
        <v>1</v>
      </c>
      <c r="L249" s="13"/>
      <c r="M249" s="13"/>
    </row>
    <row r="250" spans="1:13" x14ac:dyDescent="0.25">
      <c r="A250" s="1" t="s">
        <v>941</v>
      </c>
      <c r="B250" s="1" t="s">
        <v>942</v>
      </c>
      <c r="C250" s="1" t="s">
        <v>943</v>
      </c>
      <c r="D250" s="1" t="s">
        <v>45</v>
      </c>
      <c r="E250" s="1" t="s">
        <v>944</v>
      </c>
      <c r="F250" s="1" t="s">
        <v>75</v>
      </c>
      <c r="G250" s="1" t="s">
        <v>15</v>
      </c>
      <c r="H250" s="1" t="s">
        <v>41</v>
      </c>
      <c r="I250" s="1">
        <v>3730</v>
      </c>
      <c r="J250" s="12">
        <f t="shared" si="6"/>
        <v>45314</v>
      </c>
      <c r="K250" s="14">
        <f t="shared" si="7"/>
        <v>1</v>
      </c>
      <c r="L250" s="13"/>
      <c r="M250" s="13"/>
    </row>
    <row r="251" spans="1:13" x14ac:dyDescent="0.25">
      <c r="A251" s="1" t="s">
        <v>175</v>
      </c>
      <c r="B251" s="1" t="s">
        <v>945</v>
      </c>
      <c r="C251" s="1" t="s">
        <v>946</v>
      </c>
      <c r="D251" s="1" t="s">
        <v>12</v>
      </c>
      <c r="E251" s="1" t="s">
        <v>947</v>
      </c>
      <c r="F251" s="1" t="s">
        <v>14</v>
      </c>
      <c r="G251" s="1" t="s">
        <v>15</v>
      </c>
      <c r="H251" s="1" t="s">
        <v>55</v>
      </c>
      <c r="I251" s="1">
        <v>0</v>
      </c>
      <c r="J251" s="12">
        <f t="shared" si="6"/>
        <v>45305</v>
      </c>
      <c r="K251" s="14">
        <f t="shared" si="7"/>
        <v>1</v>
      </c>
      <c r="L251" s="13"/>
      <c r="M251" s="13"/>
    </row>
    <row r="252" spans="1:13" x14ac:dyDescent="0.25">
      <c r="A252" s="1" t="s">
        <v>948</v>
      </c>
      <c r="B252" s="1" t="s">
        <v>949</v>
      </c>
      <c r="C252" s="1" t="s">
        <v>950</v>
      </c>
      <c r="D252" s="1" t="s">
        <v>12</v>
      </c>
      <c r="E252" s="1" t="s">
        <v>432</v>
      </c>
      <c r="F252" s="1" t="s">
        <v>75</v>
      </c>
      <c r="G252" s="1" t="s">
        <v>15</v>
      </c>
      <c r="H252" s="1" t="s">
        <v>30</v>
      </c>
      <c r="I252" s="1">
        <v>0</v>
      </c>
      <c r="J252" s="12">
        <f t="shared" si="6"/>
        <v>45301</v>
      </c>
      <c r="K252" s="14">
        <f t="shared" si="7"/>
        <v>1</v>
      </c>
      <c r="L252" s="13"/>
      <c r="M252" s="13"/>
    </row>
    <row r="253" spans="1:13" x14ac:dyDescent="0.25">
      <c r="A253" s="1" t="s">
        <v>951</v>
      </c>
      <c r="B253" s="1" t="s">
        <v>784</v>
      </c>
      <c r="C253" s="1" t="s">
        <v>952</v>
      </c>
      <c r="D253" s="1" t="s">
        <v>45</v>
      </c>
      <c r="E253" s="1" t="s">
        <v>953</v>
      </c>
      <c r="F253" s="1" t="s">
        <v>29</v>
      </c>
      <c r="G253" s="1" t="s">
        <v>23</v>
      </c>
      <c r="H253" s="1" t="s">
        <v>55</v>
      </c>
      <c r="I253" s="1">
        <v>1697</v>
      </c>
      <c r="J253" s="12">
        <f t="shared" si="6"/>
        <v>45312</v>
      </c>
      <c r="K253" s="14">
        <f t="shared" si="7"/>
        <v>1</v>
      </c>
      <c r="L253" s="13"/>
      <c r="M253" s="13"/>
    </row>
    <row r="254" spans="1:13" x14ac:dyDescent="0.25">
      <c r="A254" s="1" t="s">
        <v>954</v>
      </c>
      <c r="B254" s="1" t="s">
        <v>955</v>
      </c>
      <c r="C254" s="1" t="s">
        <v>956</v>
      </c>
      <c r="D254" s="1" t="s">
        <v>12</v>
      </c>
      <c r="E254" s="1" t="s">
        <v>957</v>
      </c>
      <c r="F254" s="1" t="s">
        <v>29</v>
      </c>
      <c r="G254" s="1" t="s">
        <v>15</v>
      </c>
      <c r="H254" s="1" t="s">
        <v>24</v>
      </c>
      <c r="I254" s="1">
        <v>0</v>
      </c>
      <c r="J254" s="12">
        <f t="shared" si="6"/>
        <v>45322</v>
      </c>
      <c r="K254" s="14">
        <f t="shared" si="7"/>
        <v>1</v>
      </c>
      <c r="L254" s="13"/>
      <c r="M254" s="13"/>
    </row>
    <row r="255" spans="1:13" x14ac:dyDescent="0.25">
      <c r="A255" s="1" t="s">
        <v>958</v>
      </c>
      <c r="B255" s="1" t="s">
        <v>959</v>
      </c>
      <c r="C255" s="1" t="s">
        <v>960</v>
      </c>
      <c r="D255" s="1" t="s">
        <v>45</v>
      </c>
      <c r="E255" s="1" t="s">
        <v>961</v>
      </c>
      <c r="F255" s="1" t="s">
        <v>29</v>
      </c>
      <c r="G255" s="1" t="s">
        <v>35</v>
      </c>
      <c r="H255" s="1" t="s">
        <v>41</v>
      </c>
      <c r="I255" s="1">
        <v>710</v>
      </c>
      <c r="J255" s="12">
        <f t="shared" si="6"/>
        <v>45299</v>
      </c>
      <c r="K255" s="14">
        <f t="shared" si="7"/>
        <v>1</v>
      </c>
      <c r="L255" s="13"/>
      <c r="M255" s="13"/>
    </row>
    <row r="256" spans="1:13" x14ac:dyDescent="0.25">
      <c r="A256" s="1" t="s">
        <v>962</v>
      </c>
      <c r="B256" s="1" t="s">
        <v>963</v>
      </c>
      <c r="C256" s="1" t="s">
        <v>964</v>
      </c>
      <c r="D256" s="1" t="s">
        <v>20</v>
      </c>
      <c r="E256" s="1" t="s">
        <v>965</v>
      </c>
      <c r="F256" s="1" t="s">
        <v>14</v>
      </c>
      <c r="G256" s="1" t="s">
        <v>35</v>
      </c>
      <c r="H256" s="1" t="s">
        <v>30</v>
      </c>
      <c r="I256" s="1">
        <v>0</v>
      </c>
      <c r="J256" s="12">
        <f t="shared" si="6"/>
        <v>45302</v>
      </c>
      <c r="K256" s="14">
        <f t="shared" si="7"/>
        <v>1</v>
      </c>
      <c r="L256" s="13"/>
      <c r="M256" s="13"/>
    </row>
    <row r="257" spans="1:13" x14ac:dyDescent="0.25">
      <c r="A257" s="1" t="s">
        <v>966</v>
      </c>
      <c r="B257" s="1" t="s">
        <v>967</v>
      </c>
      <c r="C257" s="1" t="s">
        <v>968</v>
      </c>
      <c r="D257" s="1" t="s">
        <v>45</v>
      </c>
      <c r="E257" s="1" t="s">
        <v>969</v>
      </c>
      <c r="F257" s="1" t="s">
        <v>40</v>
      </c>
      <c r="G257" s="1" t="s">
        <v>35</v>
      </c>
      <c r="H257" s="1" t="s">
        <v>30</v>
      </c>
      <c r="I257" s="1">
        <v>3449</v>
      </c>
      <c r="J257" s="12">
        <f t="shared" si="6"/>
        <v>45303</v>
      </c>
      <c r="K257" s="14">
        <f t="shared" si="7"/>
        <v>1</v>
      </c>
      <c r="L257" s="13"/>
      <c r="M257" s="13"/>
    </row>
    <row r="258" spans="1:13" x14ac:dyDescent="0.25">
      <c r="A258" s="1" t="s">
        <v>970</v>
      </c>
      <c r="B258" s="1" t="s">
        <v>971</v>
      </c>
      <c r="C258" s="1" t="s">
        <v>972</v>
      </c>
      <c r="D258" s="1" t="s">
        <v>20</v>
      </c>
      <c r="E258" s="1" t="s">
        <v>973</v>
      </c>
      <c r="F258" s="1" t="s">
        <v>75</v>
      </c>
      <c r="G258" s="1" t="s">
        <v>23</v>
      </c>
      <c r="H258" s="1" t="s">
        <v>30</v>
      </c>
      <c r="I258" s="1">
        <v>0</v>
      </c>
      <c r="J258" s="12">
        <f t="shared" si="6"/>
        <v>45300</v>
      </c>
      <c r="K258" s="14">
        <f t="shared" si="7"/>
        <v>1</v>
      </c>
      <c r="L258" s="13"/>
      <c r="M258" s="13"/>
    </row>
    <row r="259" spans="1:13" x14ac:dyDescent="0.25">
      <c r="A259" s="1" t="s">
        <v>974</v>
      </c>
      <c r="B259" s="1" t="s">
        <v>975</v>
      </c>
      <c r="C259" s="1" t="s">
        <v>976</v>
      </c>
      <c r="D259" s="1" t="s">
        <v>45</v>
      </c>
      <c r="E259" s="1" t="s">
        <v>914</v>
      </c>
      <c r="F259" s="1" t="s">
        <v>29</v>
      </c>
      <c r="G259" s="1" t="s">
        <v>23</v>
      </c>
      <c r="H259" s="1" t="s">
        <v>30</v>
      </c>
      <c r="I259" s="1">
        <v>4946</v>
      </c>
      <c r="J259" s="12">
        <f t="shared" si="6"/>
        <v>45302</v>
      </c>
      <c r="K259" s="14">
        <f t="shared" si="7"/>
        <v>1</v>
      </c>
      <c r="L259" s="13"/>
      <c r="M259" s="13"/>
    </row>
    <row r="260" spans="1:13" x14ac:dyDescent="0.25">
      <c r="A260" s="1" t="s">
        <v>977</v>
      </c>
      <c r="B260" s="1" t="s">
        <v>978</v>
      </c>
      <c r="C260" s="1" t="s">
        <v>979</v>
      </c>
      <c r="D260" s="1" t="s">
        <v>20</v>
      </c>
      <c r="E260" s="1" t="s">
        <v>980</v>
      </c>
      <c r="F260" s="1" t="s">
        <v>22</v>
      </c>
      <c r="G260" s="1" t="s">
        <v>15</v>
      </c>
      <c r="H260" s="1" t="s">
        <v>30</v>
      </c>
      <c r="I260" s="1">
        <v>0</v>
      </c>
      <c r="J260" s="12">
        <f t="shared" ref="J260:J323" si="8">INT(C260)</f>
        <v>45319</v>
      </c>
      <c r="K260" s="14">
        <f t="shared" ref="K260:K323" si="9">MONTH(C260)</f>
        <v>1</v>
      </c>
      <c r="L260" s="13"/>
      <c r="M260" s="13"/>
    </row>
    <row r="261" spans="1:13" x14ac:dyDescent="0.25">
      <c r="A261" s="1" t="s">
        <v>416</v>
      </c>
      <c r="B261" s="1" t="s">
        <v>981</v>
      </c>
      <c r="C261" s="1" t="s">
        <v>982</v>
      </c>
      <c r="D261" s="1" t="s">
        <v>20</v>
      </c>
      <c r="E261" s="1" t="s">
        <v>983</v>
      </c>
      <c r="F261" s="1" t="s">
        <v>14</v>
      </c>
      <c r="G261" s="1" t="s">
        <v>35</v>
      </c>
      <c r="H261" s="1" t="s">
        <v>30</v>
      </c>
      <c r="I261" s="1">
        <v>0</v>
      </c>
      <c r="J261" s="12">
        <f t="shared" si="8"/>
        <v>45309</v>
      </c>
      <c r="K261" s="14">
        <f t="shared" si="9"/>
        <v>1</v>
      </c>
      <c r="L261" s="13"/>
      <c r="M261" s="13"/>
    </row>
    <row r="262" spans="1:13" x14ac:dyDescent="0.25">
      <c r="A262" s="1" t="s">
        <v>984</v>
      </c>
      <c r="B262" s="1" t="s">
        <v>985</v>
      </c>
      <c r="C262" s="1" t="s">
        <v>986</v>
      </c>
      <c r="D262" s="1" t="s">
        <v>12</v>
      </c>
      <c r="E262" s="1" t="s">
        <v>987</v>
      </c>
      <c r="F262" s="1" t="s">
        <v>14</v>
      </c>
      <c r="G262" s="1" t="s">
        <v>35</v>
      </c>
      <c r="H262" s="1" t="s">
        <v>30</v>
      </c>
      <c r="I262" s="1">
        <v>0</v>
      </c>
      <c r="J262" s="12">
        <f t="shared" si="8"/>
        <v>45317</v>
      </c>
      <c r="K262" s="14">
        <f t="shared" si="9"/>
        <v>1</v>
      </c>
      <c r="L262" s="13"/>
      <c r="M262" s="13"/>
    </row>
    <row r="263" spans="1:13" x14ac:dyDescent="0.25">
      <c r="A263" s="1" t="s">
        <v>988</v>
      </c>
      <c r="B263" s="1" t="s">
        <v>989</v>
      </c>
      <c r="C263" s="1" t="s">
        <v>990</v>
      </c>
      <c r="D263" s="1" t="s">
        <v>45</v>
      </c>
      <c r="E263" s="1" t="s">
        <v>991</v>
      </c>
      <c r="F263" s="1" t="s">
        <v>22</v>
      </c>
      <c r="G263" s="1" t="s">
        <v>15</v>
      </c>
      <c r="H263" s="1" t="s">
        <v>41</v>
      </c>
      <c r="I263" s="1">
        <v>4789</v>
      </c>
      <c r="J263" s="12">
        <f t="shared" si="8"/>
        <v>45309</v>
      </c>
      <c r="K263" s="14">
        <f t="shared" si="9"/>
        <v>1</v>
      </c>
      <c r="L263" s="13"/>
      <c r="M263" s="13"/>
    </row>
    <row r="264" spans="1:13" x14ac:dyDescent="0.25">
      <c r="A264" s="1" t="s">
        <v>992</v>
      </c>
      <c r="B264" s="1" t="s">
        <v>993</v>
      </c>
      <c r="C264" s="1" t="s">
        <v>994</v>
      </c>
      <c r="D264" s="1" t="s">
        <v>12</v>
      </c>
      <c r="E264" s="1" t="s">
        <v>995</v>
      </c>
      <c r="F264" s="1" t="s">
        <v>22</v>
      </c>
      <c r="G264" s="1" t="s">
        <v>35</v>
      </c>
      <c r="H264" s="1" t="s">
        <v>30</v>
      </c>
      <c r="I264" s="1">
        <v>0</v>
      </c>
      <c r="J264" s="12">
        <f t="shared" si="8"/>
        <v>45303</v>
      </c>
      <c r="K264" s="14">
        <f t="shared" si="9"/>
        <v>1</v>
      </c>
      <c r="L264" s="13"/>
      <c r="M264" s="13"/>
    </row>
    <row r="265" spans="1:13" x14ac:dyDescent="0.25">
      <c r="A265" s="1" t="s">
        <v>535</v>
      </c>
      <c r="B265" s="1" t="s">
        <v>996</v>
      </c>
      <c r="C265" s="1" t="s">
        <v>997</v>
      </c>
      <c r="D265" s="1" t="s">
        <v>45</v>
      </c>
      <c r="E265" s="1" t="s">
        <v>998</v>
      </c>
      <c r="F265" s="1" t="s">
        <v>22</v>
      </c>
      <c r="G265" s="1" t="s">
        <v>15</v>
      </c>
      <c r="H265" s="1" t="s">
        <v>16</v>
      </c>
      <c r="I265" s="1">
        <v>572</v>
      </c>
      <c r="J265" s="12">
        <f t="shared" si="8"/>
        <v>45293</v>
      </c>
      <c r="K265" s="14">
        <f t="shared" si="9"/>
        <v>1</v>
      </c>
      <c r="L265" s="13"/>
      <c r="M265" s="13"/>
    </row>
    <row r="266" spans="1:13" x14ac:dyDescent="0.25">
      <c r="A266" s="1" t="s">
        <v>674</v>
      </c>
      <c r="B266" s="1" t="s">
        <v>999</v>
      </c>
      <c r="C266" s="1" t="s">
        <v>1000</v>
      </c>
      <c r="D266" s="1" t="s">
        <v>45</v>
      </c>
      <c r="E266" s="1" t="s">
        <v>737</v>
      </c>
      <c r="F266" s="1" t="s">
        <v>14</v>
      </c>
      <c r="G266" s="1" t="s">
        <v>23</v>
      </c>
      <c r="H266" s="1" t="s">
        <v>16</v>
      </c>
      <c r="I266" s="1">
        <v>2536</v>
      </c>
      <c r="J266" s="12">
        <f t="shared" si="8"/>
        <v>45314</v>
      </c>
      <c r="K266" s="14">
        <f t="shared" si="9"/>
        <v>1</v>
      </c>
      <c r="L266" s="13"/>
      <c r="M266" s="13"/>
    </row>
    <row r="267" spans="1:13" x14ac:dyDescent="0.25">
      <c r="A267" s="1" t="s">
        <v>1001</v>
      </c>
      <c r="B267" s="1" t="s">
        <v>1002</v>
      </c>
      <c r="C267" s="1" t="s">
        <v>1003</v>
      </c>
      <c r="D267" s="1" t="s">
        <v>45</v>
      </c>
      <c r="E267" s="1" t="s">
        <v>1004</v>
      </c>
      <c r="F267" s="1" t="s">
        <v>75</v>
      </c>
      <c r="G267" s="1" t="s">
        <v>23</v>
      </c>
      <c r="H267" s="1" t="s">
        <v>41</v>
      </c>
      <c r="I267" s="1">
        <v>1722</v>
      </c>
      <c r="J267" s="12">
        <f t="shared" si="8"/>
        <v>45295</v>
      </c>
      <c r="K267" s="14">
        <f t="shared" si="9"/>
        <v>1</v>
      </c>
      <c r="L267" s="13"/>
      <c r="M267" s="13"/>
    </row>
    <row r="268" spans="1:13" x14ac:dyDescent="0.25">
      <c r="A268" s="1" t="s">
        <v>1005</v>
      </c>
      <c r="B268" s="1" t="s">
        <v>1006</v>
      </c>
      <c r="C268" s="1" t="s">
        <v>1007</v>
      </c>
      <c r="D268" s="1" t="s">
        <v>12</v>
      </c>
      <c r="E268" s="1" t="s">
        <v>1008</v>
      </c>
      <c r="F268" s="1" t="s">
        <v>40</v>
      </c>
      <c r="G268" s="1" t="s">
        <v>35</v>
      </c>
      <c r="H268" s="1" t="s">
        <v>55</v>
      </c>
      <c r="I268" s="1">
        <v>0</v>
      </c>
      <c r="J268" s="12">
        <f t="shared" si="8"/>
        <v>45315</v>
      </c>
      <c r="K268" s="14">
        <f t="shared" si="9"/>
        <v>1</v>
      </c>
      <c r="L268" s="13"/>
      <c r="M268" s="13"/>
    </row>
    <row r="269" spans="1:13" x14ac:dyDescent="0.25">
      <c r="A269" s="1" t="s">
        <v>1009</v>
      </c>
      <c r="B269" s="1" t="s">
        <v>1010</v>
      </c>
      <c r="C269" s="1" t="s">
        <v>1011</v>
      </c>
      <c r="D269" s="1" t="s">
        <v>12</v>
      </c>
      <c r="E269" s="1" t="s">
        <v>1012</v>
      </c>
      <c r="F269" s="1" t="s">
        <v>40</v>
      </c>
      <c r="G269" s="1" t="s">
        <v>35</v>
      </c>
      <c r="H269" s="1" t="s">
        <v>30</v>
      </c>
      <c r="I269" s="1">
        <v>0</v>
      </c>
      <c r="J269" s="12">
        <f t="shared" si="8"/>
        <v>45298</v>
      </c>
      <c r="K269" s="14">
        <f t="shared" si="9"/>
        <v>1</v>
      </c>
      <c r="L269" s="13"/>
      <c r="M269" s="13"/>
    </row>
    <row r="270" spans="1:13" x14ac:dyDescent="0.25">
      <c r="A270" s="1" t="s">
        <v>1013</v>
      </c>
      <c r="B270" s="1" t="s">
        <v>871</v>
      </c>
      <c r="C270" s="1" t="s">
        <v>1014</v>
      </c>
      <c r="D270" s="1" t="s">
        <v>45</v>
      </c>
      <c r="E270" s="1" t="s">
        <v>1015</v>
      </c>
      <c r="F270" s="1" t="s">
        <v>75</v>
      </c>
      <c r="G270" s="1" t="s">
        <v>35</v>
      </c>
      <c r="H270" s="1" t="s">
        <v>24</v>
      </c>
      <c r="I270" s="1">
        <v>4511</v>
      </c>
      <c r="J270" s="12">
        <f t="shared" si="8"/>
        <v>45320</v>
      </c>
      <c r="K270" s="14">
        <f t="shared" si="9"/>
        <v>1</v>
      </c>
      <c r="L270" s="13"/>
      <c r="M270" s="13"/>
    </row>
    <row r="271" spans="1:13" x14ac:dyDescent="0.25">
      <c r="A271" s="1" t="s">
        <v>1016</v>
      </c>
      <c r="B271" s="1" t="s">
        <v>1017</v>
      </c>
      <c r="C271" s="1" t="s">
        <v>1018</v>
      </c>
      <c r="D271" s="1" t="s">
        <v>20</v>
      </c>
      <c r="E271" s="1" t="s">
        <v>1019</v>
      </c>
      <c r="F271" s="1" t="s">
        <v>29</v>
      </c>
      <c r="G271" s="1" t="s">
        <v>23</v>
      </c>
      <c r="H271" s="1" t="s">
        <v>41</v>
      </c>
      <c r="I271" s="1">
        <v>0</v>
      </c>
      <c r="J271" s="12">
        <f t="shared" si="8"/>
        <v>45299</v>
      </c>
      <c r="K271" s="14">
        <f t="shared" si="9"/>
        <v>1</v>
      </c>
      <c r="L271" s="13"/>
      <c r="M271" s="13"/>
    </row>
    <row r="272" spans="1:13" x14ac:dyDescent="0.25">
      <c r="A272" s="1" t="s">
        <v>71</v>
      </c>
      <c r="B272" s="1" t="s">
        <v>1020</v>
      </c>
      <c r="C272" s="1" t="s">
        <v>1021</v>
      </c>
      <c r="D272" s="1" t="s">
        <v>45</v>
      </c>
      <c r="E272" s="1" t="s">
        <v>1022</v>
      </c>
      <c r="F272" s="1" t="s">
        <v>29</v>
      </c>
      <c r="G272" s="1" t="s">
        <v>35</v>
      </c>
      <c r="H272" s="1" t="s">
        <v>41</v>
      </c>
      <c r="I272" s="1">
        <v>414</v>
      </c>
      <c r="J272" s="12">
        <f t="shared" si="8"/>
        <v>45310</v>
      </c>
      <c r="K272" s="14">
        <f t="shared" si="9"/>
        <v>1</v>
      </c>
      <c r="L272" s="13"/>
      <c r="M272" s="13"/>
    </row>
    <row r="273" spans="1:13" x14ac:dyDescent="0.25">
      <c r="A273" s="1" t="s">
        <v>1023</v>
      </c>
      <c r="B273" s="1" t="s">
        <v>1024</v>
      </c>
      <c r="C273" s="1" t="s">
        <v>1025</v>
      </c>
      <c r="D273" s="1" t="s">
        <v>20</v>
      </c>
      <c r="E273" s="1" t="s">
        <v>1026</v>
      </c>
      <c r="F273" s="1" t="s">
        <v>29</v>
      </c>
      <c r="G273" s="1" t="s">
        <v>35</v>
      </c>
      <c r="H273" s="1" t="s">
        <v>16</v>
      </c>
      <c r="I273" s="1">
        <v>0</v>
      </c>
      <c r="J273" s="12">
        <f t="shared" si="8"/>
        <v>45318</v>
      </c>
      <c r="K273" s="14">
        <f t="shared" si="9"/>
        <v>1</v>
      </c>
      <c r="L273" s="13"/>
      <c r="M273" s="13"/>
    </row>
    <row r="274" spans="1:13" x14ac:dyDescent="0.25">
      <c r="A274" s="1" t="s">
        <v>1027</v>
      </c>
      <c r="B274" s="1" t="s">
        <v>1028</v>
      </c>
      <c r="C274" s="1" t="s">
        <v>1029</v>
      </c>
      <c r="D274" s="1" t="s">
        <v>45</v>
      </c>
      <c r="E274" s="1" t="s">
        <v>1030</v>
      </c>
      <c r="F274" s="1" t="s">
        <v>14</v>
      </c>
      <c r="G274" s="1" t="s">
        <v>35</v>
      </c>
      <c r="H274" s="1" t="s">
        <v>30</v>
      </c>
      <c r="I274" s="1">
        <v>1831</v>
      </c>
      <c r="J274" s="12">
        <f t="shared" si="8"/>
        <v>45301</v>
      </c>
      <c r="K274" s="14">
        <f t="shared" si="9"/>
        <v>1</v>
      </c>
      <c r="L274" s="13"/>
      <c r="M274" s="13"/>
    </row>
    <row r="275" spans="1:13" x14ac:dyDescent="0.25">
      <c r="A275" s="1" t="s">
        <v>1031</v>
      </c>
      <c r="B275" s="1" t="s">
        <v>1032</v>
      </c>
      <c r="C275" s="1" t="s">
        <v>1033</v>
      </c>
      <c r="D275" s="1" t="s">
        <v>45</v>
      </c>
      <c r="E275" s="1" t="s">
        <v>793</v>
      </c>
      <c r="F275" s="1" t="s">
        <v>75</v>
      </c>
      <c r="G275" s="1" t="s">
        <v>35</v>
      </c>
      <c r="H275" s="1" t="s">
        <v>24</v>
      </c>
      <c r="I275" s="1">
        <v>4070</v>
      </c>
      <c r="J275" s="12">
        <f t="shared" si="8"/>
        <v>45305</v>
      </c>
      <c r="K275" s="14">
        <f t="shared" si="9"/>
        <v>1</v>
      </c>
      <c r="L275" s="13"/>
      <c r="M275" s="13"/>
    </row>
    <row r="276" spans="1:13" x14ac:dyDescent="0.25">
      <c r="A276" s="1" t="s">
        <v>1034</v>
      </c>
      <c r="B276" s="1" t="s">
        <v>1035</v>
      </c>
      <c r="C276" s="1" t="s">
        <v>1036</v>
      </c>
      <c r="D276" s="1" t="s">
        <v>12</v>
      </c>
      <c r="E276" s="1" t="s">
        <v>1037</v>
      </c>
      <c r="F276" s="1" t="s">
        <v>22</v>
      </c>
      <c r="G276" s="1" t="s">
        <v>15</v>
      </c>
      <c r="H276" s="1" t="s">
        <v>41</v>
      </c>
      <c r="I276" s="1">
        <v>0</v>
      </c>
      <c r="J276" s="12">
        <f t="shared" si="8"/>
        <v>45308</v>
      </c>
      <c r="K276" s="14">
        <f t="shared" si="9"/>
        <v>1</v>
      </c>
      <c r="L276" s="13"/>
      <c r="M276" s="13"/>
    </row>
    <row r="277" spans="1:13" x14ac:dyDescent="0.25">
      <c r="A277" s="1" t="s">
        <v>1038</v>
      </c>
      <c r="B277" s="1" t="s">
        <v>1039</v>
      </c>
      <c r="C277" s="1" t="s">
        <v>1040</v>
      </c>
      <c r="D277" s="1" t="s">
        <v>45</v>
      </c>
      <c r="E277" s="1" t="s">
        <v>1041</v>
      </c>
      <c r="F277" s="1" t="s">
        <v>40</v>
      </c>
      <c r="G277" s="1" t="s">
        <v>35</v>
      </c>
      <c r="H277" s="1" t="s">
        <v>41</v>
      </c>
      <c r="I277" s="1">
        <v>622</v>
      </c>
      <c r="J277" s="12">
        <f t="shared" si="8"/>
        <v>45314</v>
      </c>
      <c r="K277" s="14">
        <f t="shared" si="9"/>
        <v>1</v>
      </c>
      <c r="L277" s="13"/>
      <c r="M277" s="13"/>
    </row>
    <row r="278" spans="1:13" x14ac:dyDescent="0.25">
      <c r="A278" s="1" t="s">
        <v>131</v>
      </c>
      <c r="B278" s="1" t="s">
        <v>1042</v>
      </c>
      <c r="C278" s="1" t="s">
        <v>1043</v>
      </c>
      <c r="D278" s="1" t="s">
        <v>45</v>
      </c>
      <c r="E278" s="1" t="s">
        <v>251</v>
      </c>
      <c r="F278" s="1" t="s">
        <v>40</v>
      </c>
      <c r="G278" s="1" t="s">
        <v>35</v>
      </c>
      <c r="H278" s="1" t="s">
        <v>16</v>
      </c>
      <c r="I278" s="1">
        <v>1205</v>
      </c>
      <c r="J278" s="12">
        <f t="shared" si="8"/>
        <v>45317</v>
      </c>
      <c r="K278" s="14">
        <f t="shared" si="9"/>
        <v>1</v>
      </c>
      <c r="L278" s="13"/>
      <c r="M278" s="13"/>
    </row>
    <row r="279" spans="1:13" x14ac:dyDescent="0.25">
      <c r="A279" s="1" t="s">
        <v>1044</v>
      </c>
      <c r="B279" s="1" t="s">
        <v>1045</v>
      </c>
      <c r="C279" s="1" t="s">
        <v>1046</v>
      </c>
      <c r="D279" s="1" t="s">
        <v>12</v>
      </c>
      <c r="E279" s="1" t="s">
        <v>1047</v>
      </c>
      <c r="F279" s="1" t="s">
        <v>14</v>
      </c>
      <c r="G279" s="1" t="s">
        <v>23</v>
      </c>
      <c r="H279" s="1" t="s">
        <v>16</v>
      </c>
      <c r="I279" s="1">
        <v>0</v>
      </c>
      <c r="J279" s="12">
        <f t="shared" si="8"/>
        <v>45304</v>
      </c>
      <c r="K279" s="14">
        <f t="shared" si="9"/>
        <v>1</v>
      </c>
      <c r="L279" s="13"/>
      <c r="M279" s="13"/>
    </row>
    <row r="280" spans="1:13" x14ac:dyDescent="0.25">
      <c r="A280" s="1" t="s">
        <v>1048</v>
      </c>
      <c r="B280" s="1" t="s">
        <v>1049</v>
      </c>
      <c r="C280" s="1" t="s">
        <v>1050</v>
      </c>
      <c r="D280" s="1" t="s">
        <v>12</v>
      </c>
      <c r="E280" s="1" t="s">
        <v>1051</v>
      </c>
      <c r="F280" s="1" t="s">
        <v>22</v>
      </c>
      <c r="G280" s="1" t="s">
        <v>35</v>
      </c>
      <c r="H280" s="1" t="s">
        <v>55</v>
      </c>
      <c r="I280" s="1">
        <v>0</v>
      </c>
      <c r="J280" s="12">
        <f t="shared" si="8"/>
        <v>45306</v>
      </c>
      <c r="K280" s="14">
        <f t="shared" si="9"/>
        <v>1</v>
      </c>
      <c r="L280" s="13"/>
      <c r="M280" s="13"/>
    </row>
    <row r="281" spans="1:13" x14ac:dyDescent="0.25">
      <c r="A281" s="1" t="s">
        <v>1052</v>
      </c>
      <c r="B281" s="1" t="s">
        <v>1053</v>
      </c>
      <c r="C281" s="1" t="s">
        <v>1054</v>
      </c>
      <c r="D281" s="1" t="s">
        <v>20</v>
      </c>
      <c r="E281" s="1" t="s">
        <v>1055</v>
      </c>
      <c r="F281" s="1" t="s">
        <v>29</v>
      </c>
      <c r="G281" s="1" t="s">
        <v>23</v>
      </c>
      <c r="H281" s="1" t="s">
        <v>16</v>
      </c>
      <c r="I281" s="1">
        <v>0</v>
      </c>
      <c r="J281" s="12">
        <f t="shared" si="8"/>
        <v>45292</v>
      </c>
      <c r="K281" s="14">
        <f t="shared" si="9"/>
        <v>1</v>
      </c>
      <c r="L281" s="13"/>
      <c r="M281" s="13"/>
    </row>
    <row r="282" spans="1:13" x14ac:dyDescent="0.25">
      <c r="A282" s="1" t="s">
        <v>347</v>
      </c>
      <c r="B282" s="1" t="s">
        <v>1056</v>
      </c>
      <c r="C282" s="1" t="s">
        <v>1057</v>
      </c>
      <c r="D282" s="1" t="s">
        <v>45</v>
      </c>
      <c r="E282" s="1" t="s">
        <v>310</v>
      </c>
      <c r="F282" s="1" t="s">
        <v>14</v>
      </c>
      <c r="G282" s="1" t="s">
        <v>35</v>
      </c>
      <c r="H282" s="1" t="s">
        <v>30</v>
      </c>
      <c r="I282" s="1">
        <v>305</v>
      </c>
      <c r="J282" s="12">
        <f t="shared" si="8"/>
        <v>45307</v>
      </c>
      <c r="K282" s="14">
        <f t="shared" si="9"/>
        <v>1</v>
      </c>
      <c r="L282" s="13"/>
      <c r="M282" s="13"/>
    </row>
    <row r="283" spans="1:13" x14ac:dyDescent="0.25">
      <c r="A283" s="1" t="s">
        <v>1058</v>
      </c>
      <c r="B283" s="1" t="s">
        <v>1059</v>
      </c>
      <c r="C283" s="1" t="s">
        <v>1060</v>
      </c>
      <c r="D283" s="1" t="s">
        <v>20</v>
      </c>
      <c r="E283" s="1" t="s">
        <v>377</v>
      </c>
      <c r="F283" s="1" t="s">
        <v>29</v>
      </c>
      <c r="G283" s="1" t="s">
        <v>23</v>
      </c>
      <c r="H283" s="1" t="s">
        <v>41</v>
      </c>
      <c r="I283" s="1">
        <v>0</v>
      </c>
      <c r="J283" s="12">
        <f t="shared" si="8"/>
        <v>45298</v>
      </c>
      <c r="K283" s="14">
        <f t="shared" si="9"/>
        <v>1</v>
      </c>
      <c r="L283" s="13"/>
      <c r="M283" s="13"/>
    </row>
    <row r="284" spans="1:13" x14ac:dyDescent="0.25">
      <c r="A284" s="1" t="s">
        <v>1061</v>
      </c>
      <c r="B284" s="1" t="s">
        <v>1062</v>
      </c>
      <c r="C284" s="1" t="s">
        <v>1063</v>
      </c>
      <c r="D284" s="1" t="s">
        <v>45</v>
      </c>
      <c r="E284" s="1" t="s">
        <v>1064</v>
      </c>
      <c r="F284" s="1" t="s">
        <v>14</v>
      </c>
      <c r="G284" s="1" t="s">
        <v>35</v>
      </c>
      <c r="H284" s="1" t="s">
        <v>55</v>
      </c>
      <c r="I284" s="1">
        <v>1875</v>
      </c>
      <c r="J284" s="12">
        <f t="shared" si="8"/>
        <v>45311</v>
      </c>
      <c r="K284" s="14">
        <f t="shared" si="9"/>
        <v>1</v>
      </c>
      <c r="L284" s="13"/>
      <c r="M284" s="13"/>
    </row>
    <row r="285" spans="1:13" x14ac:dyDescent="0.25">
      <c r="A285" s="1" t="s">
        <v>1065</v>
      </c>
      <c r="B285" s="1" t="s">
        <v>1066</v>
      </c>
      <c r="C285" s="1" t="s">
        <v>1067</v>
      </c>
      <c r="D285" s="1" t="s">
        <v>45</v>
      </c>
      <c r="E285" s="1" t="s">
        <v>585</v>
      </c>
      <c r="F285" s="1" t="s">
        <v>14</v>
      </c>
      <c r="G285" s="1" t="s">
        <v>15</v>
      </c>
      <c r="H285" s="1" t="s">
        <v>24</v>
      </c>
      <c r="I285" s="1">
        <v>2736</v>
      </c>
      <c r="J285" s="12">
        <f t="shared" si="8"/>
        <v>45292</v>
      </c>
      <c r="K285" s="14">
        <f t="shared" si="9"/>
        <v>1</v>
      </c>
      <c r="L285" s="13"/>
      <c r="M285" s="13"/>
    </row>
    <row r="286" spans="1:13" x14ac:dyDescent="0.25">
      <c r="A286" s="1" t="s">
        <v>1068</v>
      </c>
      <c r="B286" s="1" t="s">
        <v>1069</v>
      </c>
      <c r="C286" s="1" t="s">
        <v>1070</v>
      </c>
      <c r="D286" s="1" t="s">
        <v>12</v>
      </c>
      <c r="E286" s="1" t="s">
        <v>1071</v>
      </c>
      <c r="F286" s="1" t="s">
        <v>75</v>
      </c>
      <c r="G286" s="1" t="s">
        <v>35</v>
      </c>
      <c r="H286" s="1" t="s">
        <v>55</v>
      </c>
      <c r="I286" s="1">
        <v>0</v>
      </c>
      <c r="J286" s="12">
        <f t="shared" si="8"/>
        <v>45300</v>
      </c>
      <c r="K286" s="14">
        <f t="shared" si="9"/>
        <v>1</v>
      </c>
      <c r="L286" s="13"/>
      <c r="M286" s="13"/>
    </row>
    <row r="287" spans="1:13" x14ac:dyDescent="0.25">
      <c r="A287" s="1" t="s">
        <v>818</v>
      </c>
      <c r="B287" s="1" t="s">
        <v>1072</v>
      </c>
      <c r="C287" s="1" t="s">
        <v>1073</v>
      </c>
      <c r="D287" s="1" t="s">
        <v>45</v>
      </c>
      <c r="E287" s="1" t="s">
        <v>284</v>
      </c>
      <c r="F287" s="1" t="s">
        <v>75</v>
      </c>
      <c r="G287" s="1" t="s">
        <v>15</v>
      </c>
      <c r="H287" s="1" t="s">
        <v>16</v>
      </c>
      <c r="I287" s="1">
        <v>716</v>
      </c>
      <c r="J287" s="12">
        <f t="shared" si="8"/>
        <v>45309</v>
      </c>
      <c r="K287" s="14">
        <f t="shared" si="9"/>
        <v>1</v>
      </c>
      <c r="L287" s="13"/>
      <c r="M287" s="13"/>
    </row>
    <row r="288" spans="1:13" x14ac:dyDescent="0.25">
      <c r="A288" s="1" t="s">
        <v>1074</v>
      </c>
      <c r="B288" s="1" t="s">
        <v>1075</v>
      </c>
      <c r="C288" s="1" t="s">
        <v>1076</v>
      </c>
      <c r="D288" s="1" t="s">
        <v>12</v>
      </c>
      <c r="E288" s="1" t="s">
        <v>1077</v>
      </c>
      <c r="F288" s="1" t="s">
        <v>29</v>
      </c>
      <c r="G288" s="1" t="s">
        <v>35</v>
      </c>
      <c r="H288" s="1" t="s">
        <v>30</v>
      </c>
      <c r="I288" s="1">
        <v>0</v>
      </c>
      <c r="J288" s="12">
        <f t="shared" si="8"/>
        <v>45315</v>
      </c>
      <c r="K288" s="14">
        <f t="shared" si="9"/>
        <v>1</v>
      </c>
      <c r="L288" s="13"/>
      <c r="M288" s="13"/>
    </row>
    <row r="289" spans="1:13" x14ac:dyDescent="0.25">
      <c r="A289" s="1" t="s">
        <v>1078</v>
      </c>
      <c r="B289" s="1" t="s">
        <v>1079</v>
      </c>
      <c r="C289" s="1" t="s">
        <v>1080</v>
      </c>
      <c r="D289" s="1" t="s">
        <v>20</v>
      </c>
      <c r="E289" s="1" t="s">
        <v>1081</v>
      </c>
      <c r="F289" s="1" t="s">
        <v>14</v>
      </c>
      <c r="G289" s="1" t="s">
        <v>15</v>
      </c>
      <c r="H289" s="1" t="s">
        <v>24</v>
      </c>
      <c r="I289" s="1">
        <v>0</v>
      </c>
      <c r="J289" s="12">
        <f t="shared" si="8"/>
        <v>45303</v>
      </c>
      <c r="K289" s="14">
        <f t="shared" si="9"/>
        <v>1</v>
      </c>
      <c r="L289" s="13"/>
      <c r="M289" s="13"/>
    </row>
    <row r="290" spans="1:13" x14ac:dyDescent="0.25">
      <c r="A290" s="1" t="s">
        <v>1068</v>
      </c>
      <c r="B290" s="1" t="s">
        <v>1082</v>
      </c>
      <c r="C290" s="1" t="s">
        <v>1083</v>
      </c>
      <c r="D290" s="1" t="s">
        <v>12</v>
      </c>
      <c r="E290" s="1" t="s">
        <v>1084</v>
      </c>
      <c r="F290" s="1" t="s">
        <v>29</v>
      </c>
      <c r="G290" s="1" t="s">
        <v>35</v>
      </c>
      <c r="H290" s="1" t="s">
        <v>16</v>
      </c>
      <c r="I290" s="1">
        <v>0</v>
      </c>
      <c r="J290" s="12">
        <f t="shared" si="8"/>
        <v>45311</v>
      </c>
      <c r="K290" s="14">
        <f t="shared" si="9"/>
        <v>1</v>
      </c>
      <c r="L290" s="13"/>
      <c r="M290" s="13"/>
    </row>
    <row r="291" spans="1:13" x14ac:dyDescent="0.25">
      <c r="A291" s="1" t="s">
        <v>701</v>
      </c>
      <c r="B291" s="1" t="s">
        <v>479</v>
      </c>
      <c r="C291" s="1" t="s">
        <v>1085</v>
      </c>
      <c r="D291" s="1" t="s">
        <v>45</v>
      </c>
      <c r="E291" s="1" t="s">
        <v>302</v>
      </c>
      <c r="F291" s="1" t="s">
        <v>75</v>
      </c>
      <c r="G291" s="1" t="s">
        <v>35</v>
      </c>
      <c r="H291" s="1" t="s">
        <v>24</v>
      </c>
      <c r="I291" s="1">
        <v>4593</v>
      </c>
      <c r="J291" s="12">
        <f t="shared" si="8"/>
        <v>45306</v>
      </c>
      <c r="K291" s="14">
        <f t="shared" si="9"/>
        <v>1</v>
      </c>
      <c r="L291" s="13"/>
      <c r="M291" s="13"/>
    </row>
    <row r="292" spans="1:13" x14ac:dyDescent="0.25">
      <c r="A292" s="1" t="s">
        <v>1086</v>
      </c>
      <c r="B292" s="1" t="s">
        <v>1087</v>
      </c>
      <c r="C292" s="1" t="s">
        <v>1088</v>
      </c>
      <c r="D292" s="1" t="s">
        <v>45</v>
      </c>
      <c r="E292" s="1" t="s">
        <v>1089</v>
      </c>
      <c r="F292" s="1" t="s">
        <v>40</v>
      </c>
      <c r="G292" s="1" t="s">
        <v>35</v>
      </c>
      <c r="H292" s="1" t="s">
        <v>41</v>
      </c>
      <c r="I292" s="1">
        <v>4063</v>
      </c>
      <c r="J292" s="12">
        <f t="shared" si="8"/>
        <v>45297</v>
      </c>
      <c r="K292" s="14">
        <f t="shared" si="9"/>
        <v>1</v>
      </c>
      <c r="L292" s="13"/>
      <c r="M292" s="13"/>
    </row>
    <row r="293" spans="1:13" x14ac:dyDescent="0.25">
      <c r="A293" s="1" t="s">
        <v>1090</v>
      </c>
      <c r="B293" s="1" t="s">
        <v>261</v>
      </c>
      <c r="C293" s="1" t="s">
        <v>1091</v>
      </c>
      <c r="D293" s="1" t="s">
        <v>12</v>
      </c>
      <c r="E293" s="1" t="s">
        <v>1092</v>
      </c>
      <c r="F293" s="1" t="s">
        <v>29</v>
      </c>
      <c r="G293" s="1" t="s">
        <v>15</v>
      </c>
      <c r="H293" s="1" t="s">
        <v>55</v>
      </c>
      <c r="I293" s="1">
        <v>0</v>
      </c>
      <c r="J293" s="12">
        <f t="shared" si="8"/>
        <v>45315</v>
      </c>
      <c r="K293" s="14">
        <f t="shared" si="9"/>
        <v>1</v>
      </c>
      <c r="L293" s="13"/>
      <c r="M293" s="13"/>
    </row>
    <row r="294" spans="1:13" x14ac:dyDescent="0.25">
      <c r="A294" s="1" t="s">
        <v>1093</v>
      </c>
      <c r="B294" s="1" t="s">
        <v>1094</v>
      </c>
      <c r="C294" s="1" t="s">
        <v>1095</v>
      </c>
      <c r="D294" s="1" t="s">
        <v>45</v>
      </c>
      <c r="E294" s="1" t="s">
        <v>1096</v>
      </c>
      <c r="F294" s="1" t="s">
        <v>14</v>
      </c>
      <c r="G294" s="1" t="s">
        <v>35</v>
      </c>
      <c r="H294" s="1" t="s">
        <v>41</v>
      </c>
      <c r="I294" s="1">
        <v>1602</v>
      </c>
      <c r="J294" s="12">
        <f t="shared" si="8"/>
        <v>45317</v>
      </c>
      <c r="K294" s="14">
        <f t="shared" si="9"/>
        <v>1</v>
      </c>
      <c r="L294" s="13"/>
      <c r="M294" s="13"/>
    </row>
    <row r="295" spans="1:13" x14ac:dyDescent="0.25">
      <c r="A295" s="1" t="s">
        <v>1097</v>
      </c>
      <c r="B295" s="1" t="s">
        <v>1098</v>
      </c>
      <c r="C295" s="1" t="s">
        <v>1099</v>
      </c>
      <c r="D295" s="1" t="s">
        <v>12</v>
      </c>
      <c r="E295" s="1" t="s">
        <v>1100</v>
      </c>
      <c r="F295" s="1" t="s">
        <v>29</v>
      </c>
      <c r="G295" s="1" t="s">
        <v>15</v>
      </c>
      <c r="H295" s="1" t="s">
        <v>24</v>
      </c>
      <c r="I295" s="1">
        <v>0</v>
      </c>
      <c r="J295" s="12">
        <f t="shared" si="8"/>
        <v>45307</v>
      </c>
      <c r="K295" s="14">
        <f t="shared" si="9"/>
        <v>1</v>
      </c>
      <c r="L295" s="13"/>
      <c r="M295" s="13"/>
    </row>
    <row r="296" spans="1:13" x14ac:dyDescent="0.25">
      <c r="A296" s="1" t="s">
        <v>1101</v>
      </c>
      <c r="B296" s="1" t="s">
        <v>1102</v>
      </c>
      <c r="C296" s="1" t="s">
        <v>1103</v>
      </c>
      <c r="D296" s="1" t="s">
        <v>45</v>
      </c>
      <c r="E296" s="1" t="s">
        <v>1104</v>
      </c>
      <c r="F296" s="1" t="s">
        <v>22</v>
      </c>
      <c r="G296" s="1" t="s">
        <v>35</v>
      </c>
      <c r="H296" s="1" t="s">
        <v>16</v>
      </c>
      <c r="I296" s="1">
        <v>750</v>
      </c>
      <c r="J296" s="12">
        <f t="shared" si="8"/>
        <v>45302</v>
      </c>
      <c r="K296" s="14">
        <f t="shared" si="9"/>
        <v>1</v>
      </c>
      <c r="L296" s="13"/>
      <c r="M296" s="13"/>
    </row>
    <row r="297" spans="1:13" x14ac:dyDescent="0.25">
      <c r="A297" s="1" t="s">
        <v>1105</v>
      </c>
      <c r="B297" s="1" t="s">
        <v>1106</v>
      </c>
      <c r="C297" s="1" t="s">
        <v>1107</v>
      </c>
      <c r="D297" s="1" t="s">
        <v>45</v>
      </c>
      <c r="E297" s="1" t="s">
        <v>1108</v>
      </c>
      <c r="F297" s="1" t="s">
        <v>22</v>
      </c>
      <c r="G297" s="1" t="s">
        <v>15</v>
      </c>
      <c r="H297" s="1" t="s">
        <v>55</v>
      </c>
      <c r="I297" s="1">
        <v>2065</v>
      </c>
      <c r="J297" s="12">
        <f t="shared" si="8"/>
        <v>45310</v>
      </c>
      <c r="K297" s="14">
        <f t="shared" si="9"/>
        <v>1</v>
      </c>
      <c r="L297" s="13"/>
      <c r="M297" s="13"/>
    </row>
    <row r="298" spans="1:13" x14ac:dyDescent="0.25">
      <c r="A298" s="1" t="s">
        <v>561</v>
      </c>
      <c r="B298" s="1" t="s">
        <v>1109</v>
      </c>
      <c r="C298" s="1" t="s">
        <v>1110</v>
      </c>
      <c r="D298" s="1" t="s">
        <v>45</v>
      </c>
      <c r="E298" s="1" t="s">
        <v>925</v>
      </c>
      <c r="F298" s="1" t="s">
        <v>14</v>
      </c>
      <c r="G298" s="1" t="s">
        <v>35</v>
      </c>
      <c r="H298" s="1" t="s">
        <v>30</v>
      </c>
      <c r="I298" s="1">
        <v>1565</v>
      </c>
      <c r="J298" s="12">
        <f t="shared" si="8"/>
        <v>45323</v>
      </c>
      <c r="K298" s="14">
        <f t="shared" si="9"/>
        <v>2</v>
      </c>
      <c r="L298" s="13"/>
      <c r="M298" s="13"/>
    </row>
    <row r="299" spans="1:13" x14ac:dyDescent="0.25">
      <c r="A299" s="1" t="s">
        <v>1111</v>
      </c>
      <c r="B299" s="1" t="s">
        <v>1112</v>
      </c>
      <c r="C299" s="1" t="s">
        <v>53</v>
      </c>
      <c r="D299" s="1" t="s">
        <v>12</v>
      </c>
      <c r="E299" s="1" t="s">
        <v>1113</v>
      </c>
      <c r="F299" s="1" t="s">
        <v>14</v>
      </c>
      <c r="G299" s="1" t="s">
        <v>23</v>
      </c>
      <c r="H299" s="1" t="s">
        <v>41</v>
      </c>
      <c r="I299" s="1">
        <v>0</v>
      </c>
      <c r="J299" s="12">
        <f t="shared" si="8"/>
        <v>45314</v>
      </c>
      <c r="K299" s="14">
        <f t="shared" si="9"/>
        <v>1</v>
      </c>
      <c r="L299" s="13"/>
      <c r="M299" s="13"/>
    </row>
    <row r="300" spans="1:13" x14ac:dyDescent="0.25">
      <c r="A300" s="1" t="s">
        <v>815</v>
      </c>
      <c r="B300" s="1" t="s">
        <v>1114</v>
      </c>
      <c r="C300" s="1" t="s">
        <v>1115</v>
      </c>
      <c r="D300" s="1" t="s">
        <v>45</v>
      </c>
      <c r="E300" s="1" t="s">
        <v>944</v>
      </c>
      <c r="F300" s="1" t="s">
        <v>29</v>
      </c>
      <c r="G300" s="1" t="s">
        <v>35</v>
      </c>
      <c r="H300" s="1" t="s">
        <v>30</v>
      </c>
      <c r="I300" s="1">
        <v>2520</v>
      </c>
      <c r="J300" s="12">
        <f t="shared" si="8"/>
        <v>45314</v>
      </c>
      <c r="K300" s="14">
        <f t="shared" si="9"/>
        <v>1</v>
      </c>
      <c r="L300" s="13"/>
      <c r="M300" s="13"/>
    </row>
    <row r="301" spans="1:13" x14ac:dyDescent="0.25">
      <c r="A301" s="1" t="s">
        <v>1116</v>
      </c>
      <c r="B301" s="1" t="s">
        <v>1117</v>
      </c>
      <c r="C301" s="1" t="s">
        <v>1118</v>
      </c>
      <c r="D301" s="1" t="s">
        <v>12</v>
      </c>
      <c r="E301" s="1" t="s">
        <v>782</v>
      </c>
      <c r="F301" s="1" t="s">
        <v>75</v>
      </c>
      <c r="G301" s="1" t="s">
        <v>15</v>
      </c>
      <c r="H301" s="1" t="s">
        <v>41</v>
      </c>
      <c r="I301" s="1">
        <v>0</v>
      </c>
      <c r="J301" s="12">
        <f t="shared" si="8"/>
        <v>45300</v>
      </c>
      <c r="K301" s="14">
        <f t="shared" si="9"/>
        <v>1</v>
      </c>
      <c r="L301" s="13"/>
      <c r="M301" s="13"/>
    </row>
    <row r="302" spans="1:13" x14ac:dyDescent="0.25">
      <c r="A302" s="1" t="s">
        <v>31</v>
      </c>
      <c r="B302" s="1" t="s">
        <v>1119</v>
      </c>
      <c r="C302" s="1" t="s">
        <v>1120</v>
      </c>
      <c r="D302" s="1" t="s">
        <v>45</v>
      </c>
      <c r="E302" s="1" t="s">
        <v>1121</v>
      </c>
      <c r="F302" s="1" t="s">
        <v>40</v>
      </c>
      <c r="G302" s="1" t="s">
        <v>35</v>
      </c>
      <c r="H302" s="1" t="s">
        <v>16</v>
      </c>
      <c r="I302" s="1">
        <v>3630</v>
      </c>
      <c r="J302" s="12">
        <f t="shared" si="8"/>
        <v>45299</v>
      </c>
      <c r="K302" s="14">
        <f t="shared" si="9"/>
        <v>1</v>
      </c>
      <c r="L302" s="13"/>
      <c r="M302" s="13"/>
    </row>
    <row r="303" spans="1:13" x14ac:dyDescent="0.25">
      <c r="A303" s="1" t="s">
        <v>1122</v>
      </c>
      <c r="B303" s="1" t="s">
        <v>1123</v>
      </c>
      <c r="C303" s="1" t="s">
        <v>1124</v>
      </c>
      <c r="D303" s="1" t="s">
        <v>45</v>
      </c>
      <c r="E303" s="1" t="s">
        <v>1125</v>
      </c>
      <c r="F303" s="1" t="s">
        <v>40</v>
      </c>
      <c r="G303" s="1" t="s">
        <v>23</v>
      </c>
      <c r="H303" s="1" t="s">
        <v>41</v>
      </c>
      <c r="I303" s="1">
        <v>2971</v>
      </c>
      <c r="J303" s="12">
        <f t="shared" si="8"/>
        <v>45318</v>
      </c>
      <c r="K303" s="14">
        <f t="shared" si="9"/>
        <v>1</v>
      </c>
      <c r="L303" s="13"/>
      <c r="M303" s="13"/>
    </row>
    <row r="304" spans="1:13" x14ac:dyDescent="0.25">
      <c r="A304" s="1" t="s">
        <v>470</v>
      </c>
      <c r="B304" s="1" t="s">
        <v>1126</v>
      </c>
      <c r="C304" s="1" t="s">
        <v>1127</v>
      </c>
      <c r="D304" s="1" t="s">
        <v>20</v>
      </c>
      <c r="E304" s="1" t="s">
        <v>1128</v>
      </c>
      <c r="F304" s="1" t="s">
        <v>22</v>
      </c>
      <c r="G304" s="1" t="s">
        <v>35</v>
      </c>
      <c r="H304" s="1" t="s">
        <v>41</v>
      </c>
      <c r="I304" s="1">
        <v>0</v>
      </c>
      <c r="J304" s="12">
        <f t="shared" si="8"/>
        <v>45326</v>
      </c>
      <c r="K304" s="14">
        <f t="shared" si="9"/>
        <v>2</v>
      </c>
      <c r="L304" s="13"/>
      <c r="M304" s="13"/>
    </row>
    <row r="305" spans="1:13" x14ac:dyDescent="0.25">
      <c r="A305" s="1" t="s">
        <v>1129</v>
      </c>
      <c r="B305" s="1" t="s">
        <v>1130</v>
      </c>
      <c r="C305" s="1" t="s">
        <v>1131</v>
      </c>
      <c r="D305" s="1" t="s">
        <v>45</v>
      </c>
      <c r="E305" s="1" t="s">
        <v>1132</v>
      </c>
      <c r="F305" s="1" t="s">
        <v>29</v>
      </c>
      <c r="G305" s="1" t="s">
        <v>35</v>
      </c>
      <c r="H305" s="1" t="s">
        <v>41</v>
      </c>
      <c r="I305" s="1">
        <v>2177</v>
      </c>
      <c r="J305" s="12">
        <f t="shared" si="8"/>
        <v>45322</v>
      </c>
      <c r="K305" s="14">
        <f t="shared" si="9"/>
        <v>1</v>
      </c>
      <c r="L305" s="13"/>
      <c r="M305" s="13"/>
    </row>
    <row r="306" spans="1:13" x14ac:dyDescent="0.25">
      <c r="A306" s="1" t="s">
        <v>1133</v>
      </c>
      <c r="B306" s="1" t="s">
        <v>1134</v>
      </c>
      <c r="C306" s="1" t="s">
        <v>1135</v>
      </c>
      <c r="D306" s="1" t="s">
        <v>12</v>
      </c>
      <c r="E306" s="1" t="s">
        <v>1136</v>
      </c>
      <c r="F306" s="1" t="s">
        <v>75</v>
      </c>
      <c r="G306" s="1" t="s">
        <v>23</v>
      </c>
      <c r="H306" s="1" t="s">
        <v>24</v>
      </c>
      <c r="I306" s="1">
        <v>0</v>
      </c>
      <c r="J306" s="12">
        <f t="shared" si="8"/>
        <v>45295</v>
      </c>
      <c r="K306" s="14">
        <f t="shared" si="9"/>
        <v>1</v>
      </c>
      <c r="L306" s="13"/>
      <c r="M306" s="13"/>
    </row>
    <row r="307" spans="1:13" x14ac:dyDescent="0.25">
      <c r="A307" s="1" t="s">
        <v>444</v>
      </c>
      <c r="B307" s="1" t="s">
        <v>1137</v>
      </c>
      <c r="C307" s="1" t="s">
        <v>1138</v>
      </c>
      <c r="D307" s="1" t="s">
        <v>12</v>
      </c>
      <c r="E307" s="1" t="s">
        <v>1139</v>
      </c>
      <c r="F307" s="1" t="s">
        <v>40</v>
      </c>
      <c r="G307" s="1" t="s">
        <v>35</v>
      </c>
      <c r="H307" s="1" t="s">
        <v>30</v>
      </c>
      <c r="I307" s="1">
        <v>0</v>
      </c>
      <c r="J307" s="12">
        <f t="shared" si="8"/>
        <v>45300</v>
      </c>
      <c r="K307" s="14">
        <f t="shared" si="9"/>
        <v>1</v>
      </c>
      <c r="L307" s="13"/>
      <c r="M307" s="13"/>
    </row>
    <row r="308" spans="1:13" x14ac:dyDescent="0.25">
      <c r="A308" s="1" t="s">
        <v>723</v>
      </c>
      <c r="B308" s="1" t="s">
        <v>160</v>
      </c>
      <c r="C308" s="1" t="s">
        <v>1140</v>
      </c>
      <c r="D308" s="1" t="s">
        <v>12</v>
      </c>
      <c r="E308" s="1" t="s">
        <v>1139</v>
      </c>
      <c r="F308" s="1" t="s">
        <v>40</v>
      </c>
      <c r="G308" s="1" t="s">
        <v>23</v>
      </c>
      <c r="H308" s="1" t="s">
        <v>16</v>
      </c>
      <c r="I308" s="1">
        <v>0</v>
      </c>
      <c r="J308" s="12">
        <f t="shared" si="8"/>
        <v>45312</v>
      </c>
      <c r="K308" s="14">
        <f t="shared" si="9"/>
        <v>1</v>
      </c>
      <c r="L308" s="13"/>
      <c r="M308" s="13"/>
    </row>
    <row r="309" spans="1:13" x14ac:dyDescent="0.25">
      <c r="A309" s="1" t="s">
        <v>1141</v>
      </c>
      <c r="B309" s="1" t="s">
        <v>1142</v>
      </c>
      <c r="C309" s="1" t="s">
        <v>1143</v>
      </c>
      <c r="D309" s="1" t="s">
        <v>45</v>
      </c>
      <c r="E309" s="1" t="s">
        <v>1144</v>
      </c>
      <c r="F309" s="1" t="s">
        <v>22</v>
      </c>
      <c r="G309" s="1" t="s">
        <v>35</v>
      </c>
      <c r="H309" s="1" t="s">
        <v>55</v>
      </c>
      <c r="I309" s="1">
        <v>1068</v>
      </c>
      <c r="J309" s="12">
        <f t="shared" si="8"/>
        <v>45319</v>
      </c>
      <c r="K309" s="14">
        <f t="shared" si="9"/>
        <v>1</v>
      </c>
      <c r="L309" s="13"/>
      <c r="M309" s="13"/>
    </row>
    <row r="310" spans="1:13" x14ac:dyDescent="0.25">
      <c r="A310" s="1" t="s">
        <v>1145</v>
      </c>
      <c r="B310" s="1" t="s">
        <v>1146</v>
      </c>
      <c r="C310" s="1" t="s">
        <v>1147</v>
      </c>
      <c r="D310" s="1" t="s">
        <v>20</v>
      </c>
      <c r="E310" s="1" t="s">
        <v>1148</v>
      </c>
      <c r="F310" s="1" t="s">
        <v>22</v>
      </c>
      <c r="G310" s="1" t="s">
        <v>15</v>
      </c>
      <c r="H310" s="1" t="s">
        <v>24</v>
      </c>
      <c r="I310" s="1">
        <v>0</v>
      </c>
      <c r="J310" s="12">
        <f t="shared" si="8"/>
        <v>45309</v>
      </c>
      <c r="K310" s="14">
        <f t="shared" si="9"/>
        <v>1</v>
      </c>
      <c r="L310" s="13"/>
      <c r="M310" s="13"/>
    </row>
    <row r="311" spans="1:13" x14ac:dyDescent="0.25">
      <c r="A311" s="1" t="s">
        <v>1149</v>
      </c>
      <c r="B311" s="1" t="s">
        <v>1150</v>
      </c>
      <c r="C311" s="1" t="s">
        <v>1151</v>
      </c>
      <c r="D311" s="1" t="s">
        <v>20</v>
      </c>
      <c r="E311" s="1" t="s">
        <v>432</v>
      </c>
      <c r="F311" s="1" t="s">
        <v>40</v>
      </c>
      <c r="G311" s="1" t="s">
        <v>23</v>
      </c>
      <c r="H311" s="1" t="s">
        <v>16</v>
      </c>
      <c r="I311" s="1">
        <v>0</v>
      </c>
      <c r="J311" s="12">
        <f t="shared" si="8"/>
        <v>45306</v>
      </c>
      <c r="K311" s="14">
        <f t="shared" si="9"/>
        <v>1</v>
      </c>
      <c r="L311" s="13"/>
      <c r="M311" s="13"/>
    </row>
    <row r="312" spans="1:13" x14ac:dyDescent="0.25">
      <c r="A312" s="1" t="s">
        <v>1111</v>
      </c>
      <c r="B312" s="1" t="s">
        <v>1152</v>
      </c>
      <c r="C312" s="1" t="s">
        <v>1153</v>
      </c>
      <c r="D312" s="1" t="s">
        <v>12</v>
      </c>
      <c r="E312" s="1" t="s">
        <v>1008</v>
      </c>
      <c r="F312" s="1" t="s">
        <v>40</v>
      </c>
      <c r="G312" s="1" t="s">
        <v>23</v>
      </c>
      <c r="H312" s="1" t="s">
        <v>30</v>
      </c>
      <c r="I312" s="1">
        <v>0</v>
      </c>
      <c r="J312" s="12">
        <f t="shared" si="8"/>
        <v>45301</v>
      </c>
      <c r="K312" s="14">
        <f t="shared" si="9"/>
        <v>1</v>
      </c>
      <c r="L312" s="13"/>
      <c r="M312" s="13"/>
    </row>
    <row r="313" spans="1:13" x14ac:dyDescent="0.25">
      <c r="A313" s="1" t="s">
        <v>1154</v>
      </c>
      <c r="B313" s="1" t="s">
        <v>1155</v>
      </c>
      <c r="C313" s="1" t="s">
        <v>1156</v>
      </c>
      <c r="D313" s="1" t="s">
        <v>45</v>
      </c>
      <c r="E313" s="1" t="s">
        <v>79</v>
      </c>
      <c r="F313" s="1" t="s">
        <v>14</v>
      </c>
      <c r="G313" s="1" t="s">
        <v>23</v>
      </c>
      <c r="H313" s="1" t="s">
        <v>30</v>
      </c>
      <c r="I313" s="1">
        <v>2486</v>
      </c>
      <c r="J313" s="12">
        <f t="shared" si="8"/>
        <v>45312</v>
      </c>
      <c r="K313" s="14">
        <f t="shared" si="9"/>
        <v>1</v>
      </c>
      <c r="L313" s="13"/>
      <c r="M313" s="13"/>
    </row>
    <row r="314" spans="1:13" x14ac:dyDescent="0.25">
      <c r="A314" s="1" t="s">
        <v>538</v>
      </c>
      <c r="B314" s="1" t="s">
        <v>1157</v>
      </c>
      <c r="C314" s="1" t="s">
        <v>1158</v>
      </c>
      <c r="D314" s="1" t="s">
        <v>20</v>
      </c>
      <c r="E314" s="1" t="s">
        <v>1159</v>
      </c>
      <c r="F314" s="1" t="s">
        <v>75</v>
      </c>
      <c r="G314" s="1" t="s">
        <v>23</v>
      </c>
      <c r="H314" s="1" t="s">
        <v>16</v>
      </c>
      <c r="I314" s="1">
        <v>0</v>
      </c>
      <c r="J314" s="12">
        <f t="shared" si="8"/>
        <v>45326</v>
      </c>
      <c r="K314" s="14">
        <f t="shared" si="9"/>
        <v>2</v>
      </c>
      <c r="L314" s="13"/>
      <c r="M314" s="13"/>
    </row>
    <row r="315" spans="1:13" x14ac:dyDescent="0.25">
      <c r="A315" s="1" t="s">
        <v>742</v>
      </c>
      <c r="B315" s="1" t="s">
        <v>1160</v>
      </c>
      <c r="C315" s="1" t="s">
        <v>1161</v>
      </c>
      <c r="D315" s="1" t="s">
        <v>20</v>
      </c>
      <c r="E315" s="1" t="s">
        <v>1162</v>
      </c>
      <c r="F315" s="1" t="s">
        <v>22</v>
      </c>
      <c r="G315" s="1" t="s">
        <v>23</v>
      </c>
      <c r="H315" s="1" t="s">
        <v>24</v>
      </c>
      <c r="I315" s="1">
        <v>0</v>
      </c>
      <c r="J315" s="12">
        <f t="shared" si="8"/>
        <v>45310</v>
      </c>
      <c r="K315" s="14">
        <f t="shared" si="9"/>
        <v>1</v>
      </c>
      <c r="L315" s="13"/>
      <c r="M315" s="13"/>
    </row>
    <row r="316" spans="1:13" x14ac:dyDescent="0.25">
      <c r="A316" s="1" t="s">
        <v>1163</v>
      </c>
      <c r="B316" s="1" t="s">
        <v>1164</v>
      </c>
      <c r="C316" s="1" t="s">
        <v>1165</v>
      </c>
      <c r="D316" s="1" t="s">
        <v>45</v>
      </c>
      <c r="E316" s="1" t="s">
        <v>1166</v>
      </c>
      <c r="F316" s="1" t="s">
        <v>40</v>
      </c>
      <c r="G316" s="1" t="s">
        <v>35</v>
      </c>
      <c r="H316" s="1" t="s">
        <v>30</v>
      </c>
      <c r="I316" s="1">
        <v>944</v>
      </c>
      <c r="J316" s="12">
        <f t="shared" si="8"/>
        <v>45323</v>
      </c>
      <c r="K316" s="14">
        <f t="shared" si="9"/>
        <v>2</v>
      </c>
      <c r="L316" s="13"/>
      <c r="M316" s="13"/>
    </row>
    <row r="317" spans="1:13" x14ac:dyDescent="0.25">
      <c r="A317" s="1" t="s">
        <v>1167</v>
      </c>
      <c r="B317" s="1" t="s">
        <v>1168</v>
      </c>
      <c r="C317" s="1" t="s">
        <v>1169</v>
      </c>
      <c r="D317" s="1" t="s">
        <v>45</v>
      </c>
      <c r="E317" s="1" t="s">
        <v>1170</v>
      </c>
      <c r="F317" s="1" t="s">
        <v>22</v>
      </c>
      <c r="G317" s="1" t="s">
        <v>23</v>
      </c>
      <c r="H317" s="1" t="s">
        <v>24</v>
      </c>
      <c r="I317" s="1">
        <v>4646</v>
      </c>
      <c r="J317" s="12">
        <f t="shared" si="8"/>
        <v>45323</v>
      </c>
      <c r="K317" s="14">
        <f t="shared" si="9"/>
        <v>2</v>
      </c>
      <c r="L317" s="13"/>
      <c r="M317" s="13"/>
    </row>
    <row r="318" spans="1:13" x14ac:dyDescent="0.25">
      <c r="A318" s="1" t="s">
        <v>1171</v>
      </c>
      <c r="B318" s="1" t="s">
        <v>1172</v>
      </c>
      <c r="C318" s="1" t="s">
        <v>1173</v>
      </c>
      <c r="D318" s="1" t="s">
        <v>45</v>
      </c>
      <c r="E318" s="1" t="s">
        <v>1174</v>
      </c>
      <c r="F318" s="1" t="s">
        <v>29</v>
      </c>
      <c r="G318" s="1" t="s">
        <v>23</v>
      </c>
      <c r="H318" s="1" t="s">
        <v>24</v>
      </c>
      <c r="I318" s="1">
        <v>1304</v>
      </c>
      <c r="J318" s="12">
        <f t="shared" si="8"/>
        <v>45317</v>
      </c>
      <c r="K318" s="14">
        <f t="shared" si="9"/>
        <v>1</v>
      </c>
      <c r="L318" s="13"/>
      <c r="M318" s="13"/>
    </row>
    <row r="319" spans="1:13" x14ac:dyDescent="0.25">
      <c r="A319" s="1" t="s">
        <v>1175</v>
      </c>
      <c r="B319" s="1" t="s">
        <v>1176</v>
      </c>
      <c r="C319" s="1" t="s">
        <v>1177</v>
      </c>
      <c r="D319" s="1" t="s">
        <v>45</v>
      </c>
      <c r="E319" s="1" t="s">
        <v>1092</v>
      </c>
      <c r="F319" s="1" t="s">
        <v>75</v>
      </c>
      <c r="G319" s="1" t="s">
        <v>15</v>
      </c>
      <c r="H319" s="1" t="s">
        <v>16</v>
      </c>
      <c r="I319" s="1">
        <v>827</v>
      </c>
      <c r="J319" s="12">
        <f t="shared" si="8"/>
        <v>45297</v>
      </c>
      <c r="K319" s="14">
        <f t="shared" si="9"/>
        <v>1</v>
      </c>
      <c r="L319" s="13"/>
      <c r="M319" s="13"/>
    </row>
    <row r="320" spans="1:13" x14ac:dyDescent="0.25">
      <c r="A320" s="1" t="s">
        <v>323</v>
      </c>
      <c r="B320" s="1" t="s">
        <v>1178</v>
      </c>
      <c r="C320" s="1" t="s">
        <v>1179</v>
      </c>
      <c r="D320" s="1" t="s">
        <v>20</v>
      </c>
      <c r="E320" s="1" t="s">
        <v>1180</v>
      </c>
      <c r="F320" s="1" t="s">
        <v>29</v>
      </c>
      <c r="G320" s="1" t="s">
        <v>15</v>
      </c>
      <c r="H320" s="1" t="s">
        <v>16</v>
      </c>
      <c r="I320" s="1">
        <v>0</v>
      </c>
      <c r="J320" s="12">
        <f t="shared" si="8"/>
        <v>45318</v>
      </c>
      <c r="K320" s="14">
        <f t="shared" si="9"/>
        <v>1</v>
      </c>
      <c r="L320" s="13"/>
      <c r="M320" s="13"/>
    </row>
    <row r="321" spans="1:13" x14ac:dyDescent="0.25">
      <c r="A321" s="1" t="s">
        <v>1181</v>
      </c>
      <c r="B321" s="1" t="s">
        <v>1182</v>
      </c>
      <c r="C321" s="1" t="s">
        <v>1183</v>
      </c>
      <c r="D321" s="1" t="s">
        <v>12</v>
      </c>
      <c r="E321" s="1" t="s">
        <v>1184</v>
      </c>
      <c r="F321" s="1" t="s">
        <v>22</v>
      </c>
      <c r="G321" s="1" t="s">
        <v>15</v>
      </c>
      <c r="H321" s="1" t="s">
        <v>55</v>
      </c>
      <c r="I321" s="1">
        <v>0</v>
      </c>
      <c r="J321" s="12">
        <f t="shared" si="8"/>
        <v>45303</v>
      </c>
      <c r="K321" s="14">
        <f t="shared" si="9"/>
        <v>1</v>
      </c>
      <c r="L321" s="13"/>
      <c r="M321" s="13"/>
    </row>
    <row r="322" spans="1:13" x14ac:dyDescent="0.25">
      <c r="A322" s="1" t="s">
        <v>1185</v>
      </c>
      <c r="B322" s="1" t="s">
        <v>1186</v>
      </c>
      <c r="C322" s="1" t="s">
        <v>1187</v>
      </c>
      <c r="D322" s="1" t="s">
        <v>45</v>
      </c>
      <c r="E322" s="1" t="s">
        <v>757</v>
      </c>
      <c r="F322" s="1" t="s">
        <v>40</v>
      </c>
      <c r="G322" s="1" t="s">
        <v>15</v>
      </c>
      <c r="H322" s="1" t="s">
        <v>41</v>
      </c>
      <c r="I322" s="1">
        <v>2526</v>
      </c>
      <c r="J322" s="12">
        <f t="shared" si="8"/>
        <v>45311</v>
      </c>
      <c r="K322" s="14">
        <f t="shared" si="9"/>
        <v>1</v>
      </c>
      <c r="L322" s="13"/>
      <c r="M322" s="13"/>
    </row>
    <row r="323" spans="1:13" x14ac:dyDescent="0.25">
      <c r="A323" s="1" t="s">
        <v>1188</v>
      </c>
      <c r="B323" s="1" t="s">
        <v>1189</v>
      </c>
      <c r="C323" s="1" t="s">
        <v>1190</v>
      </c>
      <c r="D323" s="1" t="s">
        <v>45</v>
      </c>
      <c r="E323" s="1" t="s">
        <v>284</v>
      </c>
      <c r="F323" s="1" t="s">
        <v>29</v>
      </c>
      <c r="G323" s="1" t="s">
        <v>35</v>
      </c>
      <c r="H323" s="1" t="s">
        <v>41</v>
      </c>
      <c r="I323" s="1">
        <v>1549</v>
      </c>
      <c r="J323" s="12">
        <f t="shared" si="8"/>
        <v>45316</v>
      </c>
      <c r="K323" s="14">
        <f t="shared" si="9"/>
        <v>1</v>
      </c>
      <c r="L323" s="13"/>
      <c r="M323" s="13"/>
    </row>
    <row r="324" spans="1:13" x14ac:dyDescent="0.25">
      <c r="A324" s="1" t="s">
        <v>1191</v>
      </c>
      <c r="B324" s="1" t="s">
        <v>1192</v>
      </c>
      <c r="C324" s="1" t="s">
        <v>1193</v>
      </c>
      <c r="D324" s="1" t="s">
        <v>45</v>
      </c>
      <c r="E324" s="1" t="s">
        <v>1194</v>
      </c>
      <c r="F324" s="1" t="s">
        <v>29</v>
      </c>
      <c r="G324" s="1" t="s">
        <v>35</v>
      </c>
      <c r="H324" s="1" t="s">
        <v>55</v>
      </c>
      <c r="I324" s="1">
        <v>1085</v>
      </c>
      <c r="J324" s="12">
        <f t="shared" ref="J324:J387" si="10">INT(C324)</f>
        <v>45299</v>
      </c>
      <c r="K324" s="14">
        <f t="shared" ref="K324:K387" si="11">MONTH(C324)</f>
        <v>1</v>
      </c>
      <c r="L324" s="13"/>
      <c r="M324" s="13"/>
    </row>
    <row r="325" spans="1:13" x14ac:dyDescent="0.25">
      <c r="A325" s="1" t="s">
        <v>1195</v>
      </c>
      <c r="B325" s="1" t="s">
        <v>1196</v>
      </c>
      <c r="C325" s="1" t="s">
        <v>1197</v>
      </c>
      <c r="D325" s="1" t="s">
        <v>45</v>
      </c>
      <c r="E325" s="1" t="s">
        <v>1198</v>
      </c>
      <c r="F325" s="1" t="s">
        <v>14</v>
      </c>
      <c r="G325" s="1" t="s">
        <v>23</v>
      </c>
      <c r="H325" s="1" t="s">
        <v>55</v>
      </c>
      <c r="I325" s="1">
        <v>325</v>
      </c>
      <c r="J325" s="12">
        <f t="shared" si="10"/>
        <v>45293</v>
      </c>
      <c r="K325" s="14">
        <f t="shared" si="11"/>
        <v>1</v>
      </c>
      <c r="L325" s="13"/>
      <c r="M325" s="13"/>
    </row>
    <row r="326" spans="1:13" x14ac:dyDescent="0.25">
      <c r="A326" s="1" t="s">
        <v>1078</v>
      </c>
      <c r="B326" s="1" t="s">
        <v>1199</v>
      </c>
      <c r="C326" s="1" t="s">
        <v>1200</v>
      </c>
      <c r="D326" s="1" t="s">
        <v>45</v>
      </c>
      <c r="E326" s="1" t="s">
        <v>1201</v>
      </c>
      <c r="F326" s="1" t="s">
        <v>22</v>
      </c>
      <c r="G326" s="1" t="s">
        <v>35</v>
      </c>
      <c r="H326" s="1" t="s">
        <v>24</v>
      </c>
      <c r="I326" s="1">
        <v>2469</v>
      </c>
      <c r="J326" s="12">
        <f t="shared" si="10"/>
        <v>45305</v>
      </c>
      <c r="K326" s="14">
        <f t="shared" si="11"/>
        <v>1</v>
      </c>
      <c r="L326" s="13"/>
      <c r="M326" s="13"/>
    </row>
    <row r="327" spans="1:13" x14ac:dyDescent="0.25">
      <c r="A327" s="1" t="s">
        <v>1202</v>
      </c>
      <c r="B327" s="1" t="s">
        <v>1203</v>
      </c>
      <c r="C327" s="1" t="s">
        <v>1204</v>
      </c>
      <c r="D327" s="1" t="s">
        <v>12</v>
      </c>
      <c r="E327" s="1" t="s">
        <v>793</v>
      </c>
      <c r="F327" s="1" t="s">
        <v>29</v>
      </c>
      <c r="G327" s="1" t="s">
        <v>35</v>
      </c>
      <c r="H327" s="1" t="s">
        <v>41</v>
      </c>
      <c r="I327" s="1">
        <v>0</v>
      </c>
      <c r="J327" s="12">
        <f t="shared" si="10"/>
        <v>45306</v>
      </c>
      <c r="K327" s="14">
        <f t="shared" si="11"/>
        <v>1</v>
      </c>
      <c r="L327" s="13"/>
      <c r="M327" s="13"/>
    </row>
    <row r="328" spans="1:13" x14ac:dyDescent="0.25">
      <c r="A328" s="1" t="s">
        <v>1205</v>
      </c>
      <c r="B328" s="1" t="s">
        <v>1206</v>
      </c>
      <c r="C328" s="1" t="s">
        <v>1207</v>
      </c>
      <c r="D328" s="1" t="s">
        <v>20</v>
      </c>
      <c r="E328" s="1" t="s">
        <v>1208</v>
      </c>
      <c r="F328" s="1" t="s">
        <v>40</v>
      </c>
      <c r="G328" s="1" t="s">
        <v>35</v>
      </c>
      <c r="H328" s="1" t="s">
        <v>41</v>
      </c>
      <c r="I328" s="1">
        <v>0</v>
      </c>
      <c r="J328" s="12">
        <f t="shared" si="10"/>
        <v>45320</v>
      </c>
      <c r="K328" s="14">
        <f t="shared" si="11"/>
        <v>1</v>
      </c>
      <c r="L328" s="13"/>
      <c r="M328" s="13"/>
    </row>
    <row r="329" spans="1:13" x14ac:dyDescent="0.25">
      <c r="A329" s="1" t="s">
        <v>1209</v>
      </c>
      <c r="B329" s="1" t="s">
        <v>1210</v>
      </c>
      <c r="C329" s="1" t="s">
        <v>1211</v>
      </c>
      <c r="D329" s="1" t="s">
        <v>20</v>
      </c>
      <c r="E329" s="1" t="s">
        <v>1212</v>
      </c>
      <c r="F329" s="1" t="s">
        <v>75</v>
      </c>
      <c r="G329" s="1" t="s">
        <v>35</v>
      </c>
      <c r="H329" s="1" t="s">
        <v>24</v>
      </c>
      <c r="I329" s="1">
        <v>0</v>
      </c>
      <c r="J329" s="12">
        <f t="shared" si="10"/>
        <v>45302</v>
      </c>
      <c r="K329" s="14">
        <f t="shared" si="11"/>
        <v>1</v>
      </c>
      <c r="L329" s="13"/>
      <c r="M329" s="13"/>
    </row>
    <row r="330" spans="1:13" x14ac:dyDescent="0.25">
      <c r="A330" s="1" t="s">
        <v>1163</v>
      </c>
      <c r="B330" s="1" t="s">
        <v>1213</v>
      </c>
      <c r="C330" s="1" t="s">
        <v>1214</v>
      </c>
      <c r="D330" s="1" t="s">
        <v>45</v>
      </c>
      <c r="E330" s="1" t="s">
        <v>1215</v>
      </c>
      <c r="F330" s="1" t="s">
        <v>14</v>
      </c>
      <c r="G330" s="1" t="s">
        <v>15</v>
      </c>
      <c r="H330" s="1" t="s">
        <v>24</v>
      </c>
      <c r="I330" s="1">
        <v>3195</v>
      </c>
      <c r="J330" s="12">
        <f t="shared" si="10"/>
        <v>45321</v>
      </c>
      <c r="K330" s="14">
        <f t="shared" si="11"/>
        <v>1</v>
      </c>
      <c r="L330" s="13"/>
      <c r="M330" s="13"/>
    </row>
    <row r="331" spans="1:13" x14ac:dyDescent="0.25">
      <c r="A331" s="1" t="s">
        <v>108</v>
      </c>
      <c r="B331" s="1" t="s">
        <v>1216</v>
      </c>
      <c r="C331" s="1" t="s">
        <v>1217</v>
      </c>
      <c r="D331" s="1" t="s">
        <v>12</v>
      </c>
      <c r="E331" s="1" t="s">
        <v>443</v>
      </c>
      <c r="F331" s="1" t="s">
        <v>22</v>
      </c>
      <c r="G331" s="1" t="s">
        <v>35</v>
      </c>
      <c r="H331" s="1" t="s">
        <v>41</v>
      </c>
      <c r="I331" s="1">
        <v>0</v>
      </c>
      <c r="J331" s="12">
        <f t="shared" si="10"/>
        <v>45326</v>
      </c>
      <c r="K331" s="14">
        <f t="shared" si="11"/>
        <v>2</v>
      </c>
      <c r="L331" s="13"/>
      <c r="M331" s="13"/>
    </row>
    <row r="332" spans="1:13" x14ac:dyDescent="0.25">
      <c r="A332" s="1" t="s">
        <v>1218</v>
      </c>
      <c r="B332" s="1" t="s">
        <v>1219</v>
      </c>
      <c r="C332" s="1" t="s">
        <v>1220</v>
      </c>
      <c r="D332" s="1" t="s">
        <v>45</v>
      </c>
      <c r="E332" s="1" t="s">
        <v>1221</v>
      </c>
      <c r="F332" s="1" t="s">
        <v>22</v>
      </c>
      <c r="G332" s="1" t="s">
        <v>23</v>
      </c>
      <c r="H332" s="1" t="s">
        <v>55</v>
      </c>
      <c r="I332" s="1">
        <v>1122</v>
      </c>
      <c r="J332" s="12">
        <f t="shared" si="10"/>
        <v>45323</v>
      </c>
      <c r="K332" s="14">
        <f t="shared" si="11"/>
        <v>2</v>
      </c>
      <c r="L332" s="13"/>
      <c r="M332" s="13"/>
    </row>
    <row r="333" spans="1:13" x14ac:dyDescent="0.25">
      <c r="A333" s="1" t="s">
        <v>1222</v>
      </c>
      <c r="B333" s="1" t="s">
        <v>1223</v>
      </c>
      <c r="C333" s="1" t="s">
        <v>1224</v>
      </c>
      <c r="D333" s="1" t="s">
        <v>20</v>
      </c>
      <c r="E333" s="1" t="s">
        <v>1225</v>
      </c>
      <c r="F333" s="1" t="s">
        <v>14</v>
      </c>
      <c r="G333" s="1" t="s">
        <v>15</v>
      </c>
      <c r="H333" s="1" t="s">
        <v>16</v>
      </c>
      <c r="I333" s="1">
        <v>0</v>
      </c>
      <c r="J333" s="12">
        <f t="shared" si="10"/>
        <v>45318</v>
      </c>
      <c r="K333" s="14">
        <f t="shared" si="11"/>
        <v>1</v>
      </c>
      <c r="L333" s="13"/>
      <c r="M333" s="13"/>
    </row>
    <row r="334" spans="1:13" x14ac:dyDescent="0.25">
      <c r="A334" s="1" t="s">
        <v>1226</v>
      </c>
      <c r="B334" s="1" t="s">
        <v>871</v>
      </c>
      <c r="C334" s="1" t="s">
        <v>1227</v>
      </c>
      <c r="D334" s="1" t="s">
        <v>12</v>
      </c>
      <c r="E334" s="1" t="s">
        <v>1228</v>
      </c>
      <c r="F334" s="1" t="s">
        <v>14</v>
      </c>
      <c r="G334" s="1" t="s">
        <v>15</v>
      </c>
      <c r="H334" s="1" t="s">
        <v>41</v>
      </c>
      <c r="I334" s="1">
        <v>0</v>
      </c>
      <c r="J334" s="12">
        <f t="shared" si="10"/>
        <v>45311</v>
      </c>
      <c r="K334" s="14">
        <f t="shared" si="11"/>
        <v>1</v>
      </c>
      <c r="L334" s="13"/>
      <c r="M334" s="13"/>
    </row>
    <row r="335" spans="1:13" x14ac:dyDescent="0.25">
      <c r="A335" s="1" t="s">
        <v>602</v>
      </c>
      <c r="B335" s="1" t="s">
        <v>1229</v>
      </c>
      <c r="C335" s="1" t="s">
        <v>1230</v>
      </c>
      <c r="D335" s="1" t="s">
        <v>20</v>
      </c>
      <c r="E335" s="1" t="s">
        <v>1231</v>
      </c>
      <c r="F335" s="1" t="s">
        <v>22</v>
      </c>
      <c r="G335" s="1" t="s">
        <v>23</v>
      </c>
      <c r="H335" s="1" t="s">
        <v>41</v>
      </c>
      <c r="I335" s="1">
        <v>0</v>
      </c>
      <c r="J335" s="12">
        <f t="shared" si="10"/>
        <v>45298</v>
      </c>
      <c r="K335" s="14">
        <f t="shared" si="11"/>
        <v>1</v>
      </c>
      <c r="L335" s="13"/>
      <c r="M335" s="13"/>
    </row>
    <row r="336" spans="1:13" x14ac:dyDescent="0.25">
      <c r="A336" s="1" t="s">
        <v>1005</v>
      </c>
      <c r="B336" s="1" t="s">
        <v>1232</v>
      </c>
      <c r="C336" s="1" t="s">
        <v>1233</v>
      </c>
      <c r="D336" s="1" t="s">
        <v>20</v>
      </c>
      <c r="E336" s="1" t="s">
        <v>1234</v>
      </c>
      <c r="F336" s="1" t="s">
        <v>75</v>
      </c>
      <c r="G336" s="1" t="s">
        <v>15</v>
      </c>
      <c r="H336" s="1" t="s">
        <v>41</v>
      </c>
      <c r="I336" s="1">
        <v>0</v>
      </c>
      <c r="J336" s="12">
        <f t="shared" si="10"/>
        <v>45308</v>
      </c>
      <c r="K336" s="14">
        <f t="shared" si="11"/>
        <v>1</v>
      </c>
      <c r="L336" s="13"/>
      <c r="M336" s="13"/>
    </row>
    <row r="337" spans="1:13" x14ac:dyDescent="0.25">
      <c r="A337" s="1" t="s">
        <v>1235</v>
      </c>
      <c r="B337" s="1" t="s">
        <v>1236</v>
      </c>
      <c r="C337" s="1" t="s">
        <v>1237</v>
      </c>
      <c r="D337" s="1" t="s">
        <v>12</v>
      </c>
      <c r="E337" s="1" t="s">
        <v>1238</v>
      </c>
      <c r="F337" s="1" t="s">
        <v>29</v>
      </c>
      <c r="G337" s="1" t="s">
        <v>15</v>
      </c>
      <c r="H337" s="1" t="s">
        <v>41</v>
      </c>
      <c r="I337" s="1">
        <v>0</v>
      </c>
      <c r="J337" s="12">
        <f t="shared" si="10"/>
        <v>45301</v>
      </c>
      <c r="K337" s="14">
        <f t="shared" si="11"/>
        <v>1</v>
      </c>
      <c r="L337" s="13"/>
      <c r="M337" s="13"/>
    </row>
    <row r="338" spans="1:13" x14ac:dyDescent="0.25">
      <c r="A338" s="1" t="s">
        <v>1239</v>
      </c>
      <c r="B338" s="1" t="s">
        <v>1240</v>
      </c>
      <c r="C338" s="1" t="s">
        <v>1241</v>
      </c>
      <c r="D338" s="1" t="s">
        <v>12</v>
      </c>
      <c r="E338" s="1" t="s">
        <v>1242</v>
      </c>
      <c r="F338" s="1" t="s">
        <v>40</v>
      </c>
      <c r="G338" s="1" t="s">
        <v>23</v>
      </c>
      <c r="H338" s="1" t="s">
        <v>30</v>
      </c>
      <c r="I338" s="1">
        <v>0</v>
      </c>
      <c r="J338" s="12">
        <f t="shared" si="10"/>
        <v>45308</v>
      </c>
      <c r="K338" s="14">
        <f t="shared" si="11"/>
        <v>1</v>
      </c>
      <c r="L338" s="13"/>
      <c r="M338" s="13"/>
    </row>
    <row r="339" spans="1:13" x14ac:dyDescent="0.25">
      <c r="A339" s="1" t="s">
        <v>1239</v>
      </c>
      <c r="B339" s="1" t="s">
        <v>1243</v>
      </c>
      <c r="C339" s="1" t="s">
        <v>1244</v>
      </c>
      <c r="D339" s="1" t="s">
        <v>45</v>
      </c>
      <c r="E339" s="1" t="s">
        <v>1245</v>
      </c>
      <c r="F339" s="1" t="s">
        <v>75</v>
      </c>
      <c r="G339" s="1" t="s">
        <v>23</v>
      </c>
      <c r="H339" s="1" t="s">
        <v>24</v>
      </c>
      <c r="I339" s="1">
        <v>4808</v>
      </c>
      <c r="J339" s="12">
        <f t="shared" si="10"/>
        <v>45312</v>
      </c>
      <c r="K339" s="14">
        <f t="shared" si="11"/>
        <v>1</v>
      </c>
      <c r="L339" s="13"/>
      <c r="M339" s="13"/>
    </row>
    <row r="340" spans="1:13" x14ac:dyDescent="0.25">
      <c r="A340" s="1" t="s">
        <v>1246</v>
      </c>
      <c r="B340" s="1" t="s">
        <v>1247</v>
      </c>
      <c r="C340" s="1" t="s">
        <v>1248</v>
      </c>
      <c r="D340" s="1" t="s">
        <v>20</v>
      </c>
      <c r="E340" s="1" t="s">
        <v>1249</v>
      </c>
      <c r="F340" s="1" t="s">
        <v>40</v>
      </c>
      <c r="G340" s="1" t="s">
        <v>35</v>
      </c>
      <c r="H340" s="1" t="s">
        <v>41</v>
      </c>
      <c r="I340" s="1">
        <v>0</v>
      </c>
      <c r="J340" s="12">
        <f t="shared" si="10"/>
        <v>45318</v>
      </c>
      <c r="K340" s="14">
        <f t="shared" si="11"/>
        <v>1</v>
      </c>
      <c r="L340" s="13"/>
      <c r="M340" s="13"/>
    </row>
    <row r="341" spans="1:13" x14ac:dyDescent="0.25">
      <c r="A341" s="1" t="s">
        <v>267</v>
      </c>
      <c r="B341" s="1" t="s">
        <v>1250</v>
      </c>
      <c r="C341" s="1" t="s">
        <v>1251</v>
      </c>
      <c r="D341" s="1" t="s">
        <v>12</v>
      </c>
      <c r="E341" s="1" t="s">
        <v>1252</v>
      </c>
      <c r="F341" s="1" t="s">
        <v>22</v>
      </c>
      <c r="G341" s="1" t="s">
        <v>35</v>
      </c>
      <c r="H341" s="1" t="s">
        <v>41</v>
      </c>
      <c r="I341" s="1">
        <v>0</v>
      </c>
      <c r="J341" s="12">
        <f t="shared" si="10"/>
        <v>45321</v>
      </c>
      <c r="K341" s="14">
        <f t="shared" si="11"/>
        <v>1</v>
      </c>
      <c r="L341" s="13"/>
      <c r="M341" s="13"/>
    </row>
    <row r="342" spans="1:13" x14ac:dyDescent="0.25">
      <c r="A342" s="1" t="s">
        <v>347</v>
      </c>
      <c r="B342" s="1" t="s">
        <v>1253</v>
      </c>
      <c r="C342" s="1" t="s">
        <v>1254</v>
      </c>
      <c r="D342" s="1" t="s">
        <v>45</v>
      </c>
      <c r="E342" s="1" t="s">
        <v>389</v>
      </c>
      <c r="F342" s="1" t="s">
        <v>75</v>
      </c>
      <c r="G342" s="1" t="s">
        <v>15</v>
      </c>
      <c r="H342" s="1" t="s">
        <v>41</v>
      </c>
      <c r="I342" s="1">
        <v>4968</v>
      </c>
      <c r="J342" s="12">
        <f t="shared" si="10"/>
        <v>45310</v>
      </c>
      <c r="K342" s="14">
        <f t="shared" si="11"/>
        <v>1</v>
      </c>
      <c r="L342" s="13"/>
      <c r="M342" s="13"/>
    </row>
    <row r="343" spans="1:13" x14ac:dyDescent="0.25">
      <c r="A343" s="1" t="s">
        <v>1255</v>
      </c>
      <c r="B343" s="1" t="s">
        <v>1256</v>
      </c>
      <c r="C343" s="1" t="s">
        <v>1257</v>
      </c>
      <c r="D343" s="1" t="s">
        <v>12</v>
      </c>
      <c r="E343" s="1" t="s">
        <v>1258</v>
      </c>
      <c r="F343" s="1" t="s">
        <v>40</v>
      </c>
      <c r="G343" s="1" t="s">
        <v>23</v>
      </c>
      <c r="H343" s="1" t="s">
        <v>55</v>
      </c>
      <c r="I343" s="1">
        <v>0</v>
      </c>
      <c r="J343" s="12">
        <f t="shared" si="10"/>
        <v>45295</v>
      </c>
      <c r="K343" s="14">
        <f t="shared" si="11"/>
        <v>1</v>
      </c>
      <c r="L343" s="13"/>
      <c r="M343" s="13"/>
    </row>
    <row r="344" spans="1:13" x14ac:dyDescent="0.25">
      <c r="A344" s="1" t="s">
        <v>1259</v>
      </c>
      <c r="B344" s="1" t="s">
        <v>1260</v>
      </c>
      <c r="C344" s="1" t="s">
        <v>1261</v>
      </c>
      <c r="D344" s="1" t="s">
        <v>45</v>
      </c>
      <c r="E344" s="1" t="s">
        <v>1262</v>
      </c>
      <c r="F344" s="1" t="s">
        <v>29</v>
      </c>
      <c r="G344" s="1" t="s">
        <v>35</v>
      </c>
      <c r="H344" s="1" t="s">
        <v>30</v>
      </c>
      <c r="I344" s="1">
        <v>3946</v>
      </c>
      <c r="J344" s="12">
        <f t="shared" si="10"/>
        <v>45306</v>
      </c>
      <c r="K344" s="14">
        <f t="shared" si="11"/>
        <v>1</v>
      </c>
      <c r="L344" s="13"/>
      <c r="M344" s="13"/>
    </row>
    <row r="345" spans="1:13" x14ac:dyDescent="0.25">
      <c r="A345" s="1" t="s">
        <v>1263</v>
      </c>
      <c r="B345" s="1" t="s">
        <v>1264</v>
      </c>
      <c r="C345" s="1" t="s">
        <v>1265</v>
      </c>
      <c r="D345" s="1" t="s">
        <v>20</v>
      </c>
      <c r="E345" s="1" t="s">
        <v>1266</v>
      </c>
      <c r="F345" s="1" t="s">
        <v>29</v>
      </c>
      <c r="G345" s="1" t="s">
        <v>35</v>
      </c>
      <c r="H345" s="1" t="s">
        <v>30</v>
      </c>
      <c r="I345" s="1">
        <v>0</v>
      </c>
      <c r="J345" s="12">
        <f t="shared" si="10"/>
        <v>45307</v>
      </c>
      <c r="K345" s="14">
        <f t="shared" si="11"/>
        <v>1</v>
      </c>
      <c r="L345" s="13"/>
      <c r="M345" s="13"/>
    </row>
    <row r="346" spans="1:13" x14ac:dyDescent="0.25">
      <c r="A346" s="1" t="s">
        <v>1267</v>
      </c>
      <c r="B346" s="1" t="s">
        <v>1268</v>
      </c>
      <c r="C346" s="1" t="s">
        <v>1269</v>
      </c>
      <c r="D346" s="1" t="s">
        <v>12</v>
      </c>
      <c r="E346" s="1" t="s">
        <v>1270</v>
      </c>
      <c r="F346" s="1" t="s">
        <v>22</v>
      </c>
      <c r="G346" s="1" t="s">
        <v>35</v>
      </c>
      <c r="H346" s="1" t="s">
        <v>30</v>
      </c>
      <c r="I346" s="1">
        <v>0</v>
      </c>
      <c r="J346" s="12">
        <f t="shared" si="10"/>
        <v>45301</v>
      </c>
      <c r="K346" s="14">
        <f t="shared" si="11"/>
        <v>1</v>
      </c>
      <c r="L346" s="13"/>
      <c r="M346" s="13"/>
    </row>
    <row r="347" spans="1:13" x14ac:dyDescent="0.25">
      <c r="A347" s="1" t="s">
        <v>1271</v>
      </c>
      <c r="B347" s="1" t="s">
        <v>1272</v>
      </c>
      <c r="C347" s="1" t="s">
        <v>1273</v>
      </c>
      <c r="D347" s="1" t="s">
        <v>12</v>
      </c>
      <c r="E347" s="1" t="s">
        <v>1274</v>
      </c>
      <c r="F347" s="1" t="s">
        <v>29</v>
      </c>
      <c r="G347" s="1" t="s">
        <v>35</v>
      </c>
      <c r="H347" s="1" t="s">
        <v>24</v>
      </c>
      <c r="I347" s="1">
        <v>0</v>
      </c>
      <c r="J347" s="12">
        <f t="shared" si="10"/>
        <v>45323</v>
      </c>
      <c r="K347" s="14">
        <f t="shared" si="11"/>
        <v>2</v>
      </c>
      <c r="L347" s="13"/>
      <c r="M347" s="13"/>
    </row>
    <row r="348" spans="1:13" x14ac:dyDescent="0.25">
      <c r="A348" s="1" t="s">
        <v>1275</v>
      </c>
      <c r="B348" s="1" t="s">
        <v>1276</v>
      </c>
      <c r="C348" s="1" t="s">
        <v>1277</v>
      </c>
      <c r="D348" s="1" t="s">
        <v>45</v>
      </c>
      <c r="E348" s="1" t="s">
        <v>1278</v>
      </c>
      <c r="F348" s="1" t="s">
        <v>14</v>
      </c>
      <c r="G348" s="1" t="s">
        <v>23</v>
      </c>
      <c r="H348" s="1" t="s">
        <v>16</v>
      </c>
      <c r="I348" s="1">
        <v>3617</v>
      </c>
      <c r="J348" s="12">
        <f t="shared" si="10"/>
        <v>45317</v>
      </c>
      <c r="K348" s="14">
        <f t="shared" si="11"/>
        <v>1</v>
      </c>
      <c r="L348" s="13"/>
      <c r="M348" s="13"/>
    </row>
    <row r="349" spans="1:13" x14ac:dyDescent="0.25">
      <c r="A349" s="1" t="s">
        <v>1279</v>
      </c>
      <c r="B349" s="1" t="s">
        <v>1280</v>
      </c>
      <c r="C349" s="1" t="s">
        <v>1281</v>
      </c>
      <c r="D349" s="1" t="s">
        <v>45</v>
      </c>
      <c r="E349" s="1" t="s">
        <v>513</v>
      </c>
      <c r="F349" s="1" t="s">
        <v>14</v>
      </c>
      <c r="G349" s="1" t="s">
        <v>35</v>
      </c>
      <c r="H349" s="1" t="s">
        <v>16</v>
      </c>
      <c r="I349" s="1">
        <v>1327</v>
      </c>
      <c r="J349" s="12">
        <f t="shared" si="10"/>
        <v>45303</v>
      </c>
      <c r="K349" s="14">
        <f t="shared" si="11"/>
        <v>1</v>
      </c>
      <c r="L349" s="13"/>
      <c r="M349" s="13"/>
    </row>
    <row r="350" spans="1:13" x14ac:dyDescent="0.25">
      <c r="A350" s="1" t="s">
        <v>900</v>
      </c>
      <c r="B350" s="1" t="s">
        <v>1282</v>
      </c>
      <c r="C350" s="1" t="s">
        <v>1283</v>
      </c>
      <c r="D350" s="1" t="s">
        <v>20</v>
      </c>
      <c r="E350" s="1" t="s">
        <v>1284</v>
      </c>
      <c r="F350" s="1" t="s">
        <v>75</v>
      </c>
      <c r="G350" s="1" t="s">
        <v>35</v>
      </c>
      <c r="H350" s="1" t="s">
        <v>30</v>
      </c>
      <c r="I350" s="1">
        <v>0</v>
      </c>
      <c r="J350" s="12">
        <f t="shared" si="10"/>
        <v>45314</v>
      </c>
      <c r="K350" s="14">
        <f t="shared" si="11"/>
        <v>1</v>
      </c>
      <c r="L350" s="13"/>
      <c r="M350" s="13"/>
    </row>
    <row r="351" spans="1:13" x14ac:dyDescent="0.25">
      <c r="A351" s="1" t="s">
        <v>1285</v>
      </c>
      <c r="B351" s="1" t="s">
        <v>1286</v>
      </c>
      <c r="C351" s="1" t="s">
        <v>1287</v>
      </c>
      <c r="D351" s="1" t="s">
        <v>20</v>
      </c>
      <c r="E351" s="1" t="s">
        <v>1288</v>
      </c>
      <c r="F351" s="1" t="s">
        <v>14</v>
      </c>
      <c r="G351" s="1" t="s">
        <v>23</v>
      </c>
      <c r="H351" s="1" t="s">
        <v>41</v>
      </c>
      <c r="I351" s="1">
        <v>0</v>
      </c>
      <c r="J351" s="12">
        <f t="shared" si="10"/>
        <v>45317</v>
      </c>
      <c r="K351" s="14">
        <f t="shared" si="11"/>
        <v>1</v>
      </c>
      <c r="L351" s="13"/>
      <c r="M351" s="13"/>
    </row>
    <row r="352" spans="1:13" x14ac:dyDescent="0.25">
      <c r="A352" s="1" t="s">
        <v>1289</v>
      </c>
      <c r="B352" s="1" t="s">
        <v>1290</v>
      </c>
      <c r="C352" s="1" t="s">
        <v>1291</v>
      </c>
      <c r="D352" s="1" t="s">
        <v>12</v>
      </c>
      <c r="E352" s="1" t="s">
        <v>1292</v>
      </c>
      <c r="F352" s="1" t="s">
        <v>75</v>
      </c>
      <c r="G352" s="1" t="s">
        <v>15</v>
      </c>
      <c r="H352" s="1" t="s">
        <v>55</v>
      </c>
      <c r="I352" s="1">
        <v>0</v>
      </c>
      <c r="J352" s="12">
        <f t="shared" si="10"/>
        <v>45301</v>
      </c>
      <c r="K352" s="14">
        <f t="shared" si="11"/>
        <v>1</v>
      </c>
      <c r="L352" s="13"/>
      <c r="M352" s="13"/>
    </row>
    <row r="353" spans="1:13" x14ac:dyDescent="0.25">
      <c r="A353" s="1" t="s">
        <v>1293</v>
      </c>
      <c r="B353" s="1" t="s">
        <v>1294</v>
      </c>
      <c r="C353" s="1" t="s">
        <v>1295</v>
      </c>
      <c r="D353" s="1" t="s">
        <v>20</v>
      </c>
      <c r="E353" s="1" t="s">
        <v>1296</v>
      </c>
      <c r="F353" s="1" t="s">
        <v>22</v>
      </c>
      <c r="G353" s="1" t="s">
        <v>23</v>
      </c>
      <c r="H353" s="1" t="s">
        <v>55</v>
      </c>
      <c r="I353" s="1">
        <v>0</v>
      </c>
      <c r="J353" s="12">
        <f t="shared" si="10"/>
        <v>45312</v>
      </c>
      <c r="K353" s="14">
        <f t="shared" si="11"/>
        <v>1</v>
      </c>
      <c r="L353" s="13"/>
      <c r="M353" s="13"/>
    </row>
    <row r="354" spans="1:13" x14ac:dyDescent="0.25">
      <c r="A354" s="1" t="s">
        <v>1297</v>
      </c>
      <c r="B354" s="1" t="s">
        <v>1298</v>
      </c>
      <c r="C354" s="1" t="s">
        <v>1299</v>
      </c>
      <c r="D354" s="1" t="s">
        <v>12</v>
      </c>
      <c r="E354" s="1" t="s">
        <v>1300</v>
      </c>
      <c r="F354" s="1" t="s">
        <v>40</v>
      </c>
      <c r="G354" s="1" t="s">
        <v>35</v>
      </c>
      <c r="H354" s="1" t="s">
        <v>41</v>
      </c>
      <c r="I354" s="1">
        <v>0</v>
      </c>
      <c r="J354" s="12">
        <f t="shared" si="10"/>
        <v>45325</v>
      </c>
      <c r="K354" s="14">
        <f t="shared" si="11"/>
        <v>2</v>
      </c>
      <c r="L354" s="13"/>
      <c r="M354" s="13"/>
    </row>
    <row r="355" spans="1:13" x14ac:dyDescent="0.25">
      <c r="A355" s="1" t="s">
        <v>1301</v>
      </c>
      <c r="B355" s="1" t="s">
        <v>1302</v>
      </c>
      <c r="C355" s="1" t="s">
        <v>1303</v>
      </c>
      <c r="D355" s="1" t="s">
        <v>45</v>
      </c>
      <c r="E355" s="1" t="s">
        <v>1288</v>
      </c>
      <c r="F355" s="1" t="s">
        <v>14</v>
      </c>
      <c r="G355" s="1" t="s">
        <v>15</v>
      </c>
      <c r="H355" s="1" t="s">
        <v>30</v>
      </c>
      <c r="I355" s="1">
        <v>3890</v>
      </c>
      <c r="J355" s="12">
        <f t="shared" si="10"/>
        <v>45317</v>
      </c>
      <c r="K355" s="14">
        <f t="shared" si="11"/>
        <v>1</v>
      </c>
      <c r="L355" s="13"/>
      <c r="M355" s="13"/>
    </row>
    <row r="356" spans="1:13" x14ac:dyDescent="0.25">
      <c r="A356" s="1" t="s">
        <v>701</v>
      </c>
      <c r="B356" s="1" t="s">
        <v>1304</v>
      </c>
      <c r="C356" s="1" t="s">
        <v>1305</v>
      </c>
      <c r="D356" s="1" t="s">
        <v>12</v>
      </c>
      <c r="E356" s="1" t="s">
        <v>1306</v>
      </c>
      <c r="F356" s="1" t="s">
        <v>40</v>
      </c>
      <c r="G356" s="1" t="s">
        <v>15</v>
      </c>
      <c r="H356" s="1" t="s">
        <v>24</v>
      </c>
      <c r="I356" s="1">
        <v>0</v>
      </c>
      <c r="J356" s="12">
        <f t="shared" si="10"/>
        <v>45301</v>
      </c>
      <c r="K356" s="14">
        <f t="shared" si="11"/>
        <v>1</v>
      </c>
      <c r="L356" s="13"/>
      <c r="M356" s="13"/>
    </row>
    <row r="357" spans="1:13" x14ac:dyDescent="0.25">
      <c r="A357" s="1" t="s">
        <v>1074</v>
      </c>
      <c r="B357" s="1" t="s">
        <v>1307</v>
      </c>
      <c r="C357" s="1" t="s">
        <v>1308</v>
      </c>
      <c r="D357" s="1" t="s">
        <v>12</v>
      </c>
      <c r="E357" s="1" t="s">
        <v>1309</v>
      </c>
      <c r="F357" s="1" t="s">
        <v>14</v>
      </c>
      <c r="G357" s="1" t="s">
        <v>15</v>
      </c>
      <c r="H357" s="1" t="s">
        <v>30</v>
      </c>
      <c r="I357" s="1">
        <v>0</v>
      </c>
      <c r="J357" s="12">
        <f t="shared" si="10"/>
        <v>45301</v>
      </c>
      <c r="K357" s="14">
        <f t="shared" si="11"/>
        <v>1</v>
      </c>
      <c r="L357" s="13"/>
      <c r="M357" s="13"/>
    </row>
    <row r="358" spans="1:13" x14ac:dyDescent="0.25">
      <c r="A358" s="1" t="s">
        <v>1310</v>
      </c>
      <c r="B358" s="1" t="s">
        <v>1311</v>
      </c>
      <c r="C358" s="1" t="s">
        <v>1312</v>
      </c>
      <c r="D358" s="1" t="s">
        <v>12</v>
      </c>
      <c r="E358" s="1" t="s">
        <v>1313</v>
      </c>
      <c r="F358" s="1" t="s">
        <v>40</v>
      </c>
      <c r="G358" s="1" t="s">
        <v>35</v>
      </c>
      <c r="H358" s="1" t="s">
        <v>16</v>
      </c>
      <c r="I358" s="1">
        <v>0</v>
      </c>
      <c r="J358" s="12">
        <f t="shared" si="10"/>
        <v>45297</v>
      </c>
      <c r="K358" s="14">
        <f t="shared" si="11"/>
        <v>1</v>
      </c>
      <c r="L358" s="13"/>
      <c r="M358" s="13"/>
    </row>
    <row r="359" spans="1:13" x14ac:dyDescent="0.25">
      <c r="A359" s="1" t="s">
        <v>1181</v>
      </c>
      <c r="B359" s="1" t="s">
        <v>1314</v>
      </c>
      <c r="C359" s="1" t="s">
        <v>1315</v>
      </c>
      <c r="D359" s="1" t="s">
        <v>45</v>
      </c>
      <c r="E359" s="1" t="s">
        <v>1316</v>
      </c>
      <c r="F359" s="1" t="s">
        <v>75</v>
      </c>
      <c r="G359" s="1" t="s">
        <v>35</v>
      </c>
      <c r="H359" s="1" t="s">
        <v>55</v>
      </c>
      <c r="I359" s="1">
        <v>3797</v>
      </c>
      <c r="J359" s="12">
        <f t="shared" si="10"/>
        <v>45293</v>
      </c>
      <c r="K359" s="14">
        <f t="shared" si="11"/>
        <v>1</v>
      </c>
      <c r="L359" s="13"/>
      <c r="M359" s="13"/>
    </row>
    <row r="360" spans="1:13" x14ac:dyDescent="0.25">
      <c r="A360" s="1" t="s">
        <v>1317</v>
      </c>
      <c r="B360" s="1" t="s">
        <v>1318</v>
      </c>
      <c r="C360" s="1" t="s">
        <v>1319</v>
      </c>
      <c r="D360" s="1" t="s">
        <v>20</v>
      </c>
      <c r="E360" s="1" t="s">
        <v>1320</v>
      </c>
      <c r="F360" s="1" t="s">
        <v>22</v>
      </c>
      <c r="G360" s="1" t="s">
        <v>35</v>
      </c>
      <c r="H360" s="1" t="s">
        <v>16</v>
      </c>
      <c r="I360" s="1">
        <v>0</v>
      </c>
      <c r="J360" s="12">
        <f t="shared" si="10"/>
        <v>45321</v>
      </c>
      <c r="K360" s="14">
        <f t="shared" si="11"/>
        <v>1</v>
      </c>
      <c r="L360" s="13"/>
      <c r="M360" s="13"/>
    </row>
    <row r="361" spans="1:13" x14ac:dyDescent="0.25">
      <c r="A361" s="1" t="s">
        <v>1321</v>
      </c>
      <c r="B361" s="1" t="s">
        <v>1322</v>
      </c>
      <c r="C361" s="1" t="s">
        <v>1323</v>
      </c>
      <c r="D361" s="1" t="s">
        <v>12</v>
      </c>
      <c r="E361" s="1" t="s">
        <v>1324</v>
      </c>
      <c r="F361" s="1" t="s">
        <v>75</v>
      </c>
      <c r="G361" s="1" t="s">
        <v>15</v>
      </c>
      <c r="H361" s="1" t="s">
        <v>41</v>
      </c>
      <c r="I361" s="1">
        <v>0</v>
      </c>
      <c r="J361" s="12">
        <f t="shared" si="10"/>
        <v>45301</v>
      </c>
      <c r="K361" s="14">
        <f t="shared" si="11"/>
        <v>1</v>
      </c>
      <c r="L361" s="13"/>
      <c r="M361" s="13"/>
    </row>
    <row r="362" spans="1:13" x14ac:dyDescent="0.25">
      <c r="A362" s="1" t="s">
        <v>1052</v>
      </c>
      <c r="B362" s="1" t="s">
        <v>1325</v>
      </c>
      <c r="C362" s="1" t="s">
        <v>1326</v>
      </c>
      <c r="D362" s="1" t="s">
        <v>12</v>
      </c>
      <c r="E362" s="1" t="s">
        <v>1327</v>
      </c>
      <c r="F362" s="1" t="s">
        <v>75</v>
      </c>
      <c r="G362" s="1" t="s">
        <v>23</v>
      </c>
      <c r="H362" s="1" t="s">
        <v>24</v>
      </c>
      <c r="I362" s="1">
        <v>0</v>
      </c>
      <c r="J362" s="12">
        <f t="shared" si="10"/>
        <v>45312</v>
      </c>
      <c r="K362" s="14">
        <f t="shared" si="11"/>
        <v>1</v>
      </c>
      <c r="L362" s="13"/>
      <c r="M362" s="13"/>
    </row>
    <row r="363" spans="1:13" x14ac:dyDescent="0.25">
      <c r="A363" s="1" t="s">
        <v>1328</v>
      </c>
      <c r="B363" s="1" t="s">
        <v>1329</v>
      </c>
      <c r="C363" s="1" t="s">
        <v>1330</v>
      </c>
      <c r="D363" s="1" t="s">
        <v>12</v>
      </c>
      <c r="E363" s="1" t="s">
        <v>1331</v>
      </c>
      <c r="F363" s="1" t="s">
        <v>75</v>
      </c>
      <c r="G363" s="1" t="s">
        <v>15</v>
      </c>
      <c r="H363" s="1" t="s">
        <v>16</v>
      </c>
      <c r="I363" s="1">
        <v>0</v>
      </c>
      <c r="J363" s="12">
        <f t="shared" si="10"/>
        <v>45315</v>
      </c>
      <c r="K363" s="14">
        <f t="shared" si="11"/>
        <v>1</v>
      </c>
      <c r="L363" s="13"/>
      <c r="M363" s="13"/>
    </row>
    <row r="364" spans="1:13" x14ac:dyDescent="0.25">
      <c r="A364" s="1" t="s">
        <v>1332</v>
      </c>
      <c r="B364" s="1" t="s">
        <v>1333</v>
      </c>
      <c r="C364" s="1" t="s">
        <v>1334</v>
      </c>
      <c r="D364" s="1" t="s">
        <v>20</v>
      </c>
      <c r="E364" s="1" t="s">
        <v>1335</v>
      </c>
      <c r="F364" s="1" t="s">
        <v>40</v>
      </c>
      <c r="G364" s="1" t="s">
        <v>15</v>
      </c>
      <c r="H364" s="1" t="s">
        <v>16</v>
      </c>
      <c r="I364" s="1">
        <v>0</v>
      </c>
      <c r="J364" s="12">
        <f t="shared" si="10"/>
        <v>45323</v>
      </c>
      <c r="K364" s="14">
        <f t="shared" si="11"/>
        <v>2</v>
      </c>
      <c r="L364" s="13"/>
      <c r="M364" s="13"/>
    </row>
    <row r="365" spans="1:13" x14ac:dyDescent="0.25">
      <c r="A365" s="1" t="s">
        <v>1336</v>
      </c>
      <c r="B365" s="1" t="s">
        <v>1337</v>
      </c>
      <c r="C365" s="1" t="s">
        <v>1338</v>
      </c>
      <c r="D365" s="1" t="s">
        <v>20</v>
      </c>
      <c r="E365" s="1" t="s">
        <v>1339</v>
      </c>
      <c r="F365" s="1" t="s">
        <v>40</v>
      </c>
      <c r="G365" s="1" t="s">
        <v>23</v>
      </c>
      <c r="H365" s="1" t="s">
        <v>30</v>
      </c>
      <c r="I365" s="1">
        <v>0</v>
      </c>
      <c r="J365" s="12">
        <f t="shared" si="10"/>
        <v>45305</v>
      </c>
      <c r="K365" s="14">
        <f t="shared" si="11"/>
        <v>1</v>
      </c>
      <c r="L365" s="13"/>
      <c r="M365" s="13"/>
    </row>
    <row r="366" spans="1:13" x14ac:dyDescent="0.25">
      <c r="A366" s="1" t="s">
        <v>1340</v>
      </c>
      <c r="B366" s="1" t="s">
        <v>1341</v>
      </c>
      <c r="C366" s="1" t="s">
        <v>1342</v>
      </c>
      <c r="D366" s="1" t="s">
        <v>12</v>
      </c>
      <c r="E366" s="1" t="s">
        <v>753</v>
      </c>
      <c r="F366" s="1" t="s">
        <v>75</v>
      </c>
      <c r="G366" s="1" t="s">
        <v>23</v>
      </c>
      <c r="H366" s="1" t="s">
        <v>24</v>
      </c>
      <c r="I366" s="1">
        <v>0</v>
      </c>
      <c r="J366" s="12">
        <f t="shared" si="10"/>
        <v>45303</v>
      </c>
      <c r="K366" s="14">
        <f t="shared" si="11"/>
        <v>1</v>
      </c>
      <c r="L366" s="13"/>
      <c r="M366" s="13"/>
    </row>
    <row r="367" spans="1:13" x14ac:dyDescent="0.25">
      <c r="A367" s="1" t="s">
        <v>633</v>
      </c>
      <c r="B367" s="1" t="s">
        <v>1343</v>
      </c>
      <c r="C367" s="1" t="s">
        <v>1344</v>
      </c>
      <c r="D367" s="1" t="s">
        <v>12</v>
      </c>
      <c r="E367" s="1" t="s">
        <v>1345</v>
      </c>
      <c r="F367" s="1" t="s">
        <v>40</v>
      </c>
      <c r="G367" s="1" t="s">
        <v>23</v>
      </c>
      <c r="H367" s="1" t="s">
        <v>24</v>
      </c>
      <c r="I367" s="1">
        <v>0</v>
      </c>
      <c r="J367" s="12">
        <f t="shared" si="10"/>
        <v>45313</v>
      </c>
      <c r="K367" s="14">
        <f t="shared" si="11"/>
        <v>1</v>
      </c>
      <c r="L367" s="13"/>
      <c r="M367" s="13"/>
    </row>
    <row r="368" spans="1:13" x14ac:dyDescent="0.25">
      <c r="A368" s="1" t="s">
        <v>1105</v>
      </c>
      <c r="B368" s="1" t="s">
        <v>1346</v>
      </c>
      <c r="C368" s="1" t="s">
        <v>1347</v>
      </c>
      <c r="D368" s="1" t="s">
        <v>45</v>
      </c>
      <c r="E368" s="1" t="s">
        <v>1348</v>
      </c>
      <c r="F368" s="1" t="s">
        <v>22</v>
      </c>
      <c r="G368" s="1" t="s">
        <v>35</v>
      </c>
      <c r="H368" s="1" t="s">
        <v>24</v>
      </c>
      <c r="I368" s="1">
        <v>914</v>
      </c>
      <c r="J368" s="12">
        <f t="shared" si="10"/>
        <v>45313</v>
      </c>
      <c r="K368" s="14">
        <f t="shared" si="11"/>
        <v>1</v>
      </c>
      <c r="L368" s="13"/>
      <c r="M368" s="13"/>
    </row>
    <row r="369" spans="1:13" x14ac:dyDescent="0.25">
      <c r="A369" s="1" t="s">
        <v>1349</v>
      </c>
      <c r="B369" s="1" t="s">
        <v>1350</v>
      </c>
      <c r="C369" s="1" t="s">
        <v>1351</v>
      </c>
      <c r="D369" s="1" t="s">
        <v>20</v>
      </c>
      <c r="E369" s="1" t="s">
        <v>1352</v>
      </c>
      <c r="F369" s="1" t="s">
        <v>29</v>
      </c>
      <c r="G369" s="1" t="s">
        <v>35</v>
      </c>
      <c r="H369" s="1" t="s">
        <v>16</v>
      </c>
      <c r="I369" s="1">
        <v>0</v>
      </c>
      <c r="J369" s="12">
        <f t="shared" si="10"/>
        <v>45323</v>
      </c>
      <c r="K369" s="14">
        <f t="shared" si="11"/>
        <v>2</v>
      </c>
      <c r="L369" s="13"/>
      <c r="M369" s="13"/>
    </row>
    <row r="370" spans="1:13" x14ac:dyDescent="0.25">
      <c r="A370" s="1" t="s">
        <v>9</v>
      </c>
      <c r="B370" s="1" t="s">
        <v>1353</v>
      </c>
      <c r="C370" s="1" t="s">
        <v>1354</v>
      </c>
      <c r="D370" s="1" t="s">
        <v>45</v>
      </c>
      <c r="E370" s="1" t="s">
        <v>1355</v>
      </c>
      <c r="F370" s="1" t="s">
        <v>40</v>
      </c>
      <c r="G370" s="1" t="s">
        <v>15</v>
      </c>
      <c r="H370" s="1" t="s">
        <v>41</v>
      </c>
      <c r="I370" s="1">
        <v>3483</v>
      </c>
      <c r="J370" s="12">
        <f t="shared" si="10"/>
        <v>45304</v>
      </c>
      <c r="K370" s="14">
        <f t="shared" si="11"/>
        <v>1</v>
      </c>
      <c r="L370" s="13"/>
      <c r="M370" s="13"/>
    </row>
    <row r="371" spans="1:13" x14ac:dyDescent="0.25">
      <c r="A371" s="1" t="s">
        <v>567</v>
      </c>
      <c r="B371" s="1" t="s">
        <v>1356</v>
      </c>
      <c r="C371" s="1" t="s">
        <v>1357</v>
      </c>
      <c r="D371" s="1" t="s">
        <v>45</v>
      </c>
      <c r="E371" s="1" t="s">
        <v>91</v>
      </c>
      <c r="F371" s="1" t="s">
        <v>29</v>
      </c>
      <c r="G371" s="1" t="s">
        <v>23</v>
      </c>
      <c r="H371" s="1" t="s">
        <v>55</v>
      </c>
      <c r="I371" s="1">
        <v>3317</v>
      </c>
      <c r="J371" s="12">
        <f t="shared" si="10"/>
        <v>45297</v>
      </c>
      <c r="K371" s="14">
        <f t="shared" si="11"/>
        <v>1</v>
      </c>
      <c r="L371" s="13"/>
      <c r="M371" s="13"/>
    </row>
    <row r="372" spans="1:13" x14ac:dyDescent="0.25">
      <c r="A372" s="1" t="s">
        <v>393</v>
      </c>
      <c r="B372" s="1" t="s">
        <v>1358</v>
      </c>
      <c r="C372" s="1" t="s">
        <v>1359</v>
      </c>
      <c r="D372" s="1" t="s">
        <v>12</v>
      </c>
      <c r="E372" s="1" t="s">
        <v>1360</v>
      </c>
      <c r="F372" s="1" t="s">
        <v>29</v>
      </c>
      <c r="G372" s="1" t="s">
        <v>15</v>
      </c>
      <c r="H372" s="1" t="s">
        <v>16</v>
      </c>
      <c r="I372" s="1">
        <v>0</v>
      </c>
      <c r="J372" s="12">
        <f t="shared" si="10"/>
        <v>45303</v>
      </c>
      <c r="K372" s="14">
        <f t="shared" si="11"/>
        <v>1</v>
      </c>
      <c r="L372" s="13"/>
      <c r="M372" s="13"/>
    </row>
    <row r="373" spans="1:13" x14ac:dyDescent="0.25">
      <c r="A373" s="1" t="s">
        <v>1361</v>
      </c>
      <c r="B373" s="1" t="s">
        <v>1362</v>
      </c>
      <c r="C373" s="1" t="s">
        <v>1363</v>
      </c>
      <c r="D373" s="1" t="s">
        <v>12</v>
      </c>
      <c r="E373" s="1" t="s">
        <v>1364</v>
      </c>
      <c r="F373" s="1" t="s">
        <v>22</v>
      </c>
      <c r="G373" s="1" t="s">
        <v>35</v>
      </c>
      <c r="H373" s="1" t="s">
        <v>30</v>
      </c>
      <c r="I373" s="1">
        <v>0</v>
      </c>
      <c r="J373" s="12">
        <f t="shared" si="10"/>
        <v>45306</v>
      </c>
      <c r="K373" s="14">
        <f t="shared" si="11"/>
        <v>1</v>
      </c>
      <c r="L373" s="13"/>
      <c r="M373" s="13"/>
    </row>
    <row r="374" spans="1:13" x14ac:dyDescent="0.25">
      <c r="A374" s="1" t="s">
        <v>1365</v>
      </c>
      <c r="B374" s="1" t="s">
        <v>1366</v>
      </c>
      <c r="C374" s="1" t="s">
        <v>1367</v>
      </c>
      <c r="D374" s="1" t="s">
        <v>20</v>
      </c>
      <c r="E374" s="1" t="s">
        <v>1368</v>
      </c>
      <c r="F374" s="1" t="s">
        <v>75</v>
      </c>
      <c r="G374" s="1" t="s">
        <v>15</v>
      </c>
      <c r="H374" s="1" t="s">
        <v>30</v>
      </c>
      <c r="I374" s="1">
        <v>0</v>
      </c>
      <c r="J374" s="12">
        <f t="shared" si="10"/>
        <v>45320</v>
      </c>
      <c r="K374" s="14">
        <f t="shared" si="11"/>
        <v>1</v>
      </c>
      <c r="L374" s="13"/>
      <c r="M374" s="13"/>
    </row>
    <row r="375" spans="1:13" x14ac:dyDescent="0.25">
      <c r="A375" s="1" t="s">
        <v>578</v>
      </c>
      <c r="B375" s="1" t="s">
        <v>1369</v>
      </c>
      <c r="C375" s="1" t="s">
        <v>1370</v>
      </c>
      <c r="D375" s="1" t="s">
        <v>45</v>
      </c>
      <c r="E375" s="1" t="s">
        <v>1371</v>
      </c>
      <c r="F375" s="1" t="s">
        <v>14</v>
      </c>
      <c r="G375" s="1" t="s">
        <v>15</v>
      </c>
      <c r="H375" s="1" t="s">
        <v>55</v>
      </c>
      <c r="I375" s="1">
        <v>4868</v>
      </c>
      <c r="J375" s="12">
        <f t="shared" si="10"/>
        <v>45295</v>
      </c>
      <c r="K375" s="14">
        <f t="shared" si="11"/>
        <v>1</v>
      </c>
      <c r="L375" s="13"/>
      <c r="M375" s="13"/>
    </row>
    <row r="376" spans="1:13" x14ac:dyDescent="0.25">
      <c r="A376" s="1" t="s">
        <v>1372</v>
      </c>
      <c r="B376" s="1" t="s">
        <v>1373</v>
      </c>
      <c r="C376" s="1" t="s">
        <v>1374</v>
      </c>
      <c r="D376" s="1" t="s">
        <v>45</v>
      </c>
      <c r="E376" s="1" t="s">
        <v>647</v>
      </c>
      <c r="F376" s="1" t="s">
        <v>29</v>
      </c>
      <c r="G376" s="1" t="s">
        <v>15</v>
      </c>
      <c r="H376" s="1" t="s">
        <v>24</v>
      </c>
      <c r="I376" s="1">
        <v>1817</v>
      </c>
      <c r="J376" s="12">
        <f t="shared" si="10"/>
        <v>45305</v>
      </c>
      <c r="K376" s="14">
        <f t="shared" si="11"/>
        <v>1</v>
      </c>
      <c r="L376" s="13"/>
      <c r="M376" s="13"/>
    </row>
    <row r="377" spans="1:13" x14ac:dyDescent="0.25">
      <c r="A377" s="1" t="s">
        <v>772</v>
      </c>
      <c r="B377" s="1" t="s">
        <v>1375</v>
      </c>
      <c r="C377" s="1" t="s">
        <v>1376</v>
      </c>
      <c r="D377" s="1" t="s">
        <v>45</v>
      </c>
      <c r="E377" s="1" t="s">
        <v>961</v>
      </c>
      <c r="F377" s="1" t="s">
        <v>22</v>
      </c>
      <c r="G377" s="1" t="s">
        <v>15</v>
      </c>
      <c r="H377" s="1" t="s">
        <v>41</v>
      </c>
      <c r="I377" s="1">
        <v>4997</v>
      </c>
      <c r="J377" s="12">
        <f t="shared" si="10"/>
        <v>45297</v>
      </c>
      <c r="K377" s="14">
        <f t="shared" si="11"/>
        <v>1</v>
      </c>
      <c r="L377" s="13"/>
      <c r="M377" s="13"/>
    </row>
    <row r="378" spans="1:13" x14ac:dyDescent="0.25">
      <c r="A378" s="1" t="s">
        <v>1377</v>
      </c>
      <c r="B378" s="1" t="s">
        <v>1378</v>
      </c>
      <c r="C378" s="1" t="s">
        <v>1379</v>
      </c>
      <c r="D378" s="1" t="s">
        <v>45</v>
      </c>
      <c r="E378" s="1" t="s">
        <v>1380</v>
      </c>
      <c r="F378" s="1" t="s">
        <v>40</v>
      </c>
      <c r="G378" s="1" t="s">
        <v>35</v>
      </c>
      <c r="H378" s="1" t="s">
        <v>41</v>
      </c>
      <c r="I378" s="1">
        <v>4928</v>
      </c>
      <c r="J378" s="12">
        <f t="shared" si="10"/>
        <v>45321</v>
      </c>
      <c r="K378" s="14">
        <f t="shared" si="11"/>
        <v>1</v>
      </c>
      <c r="L378" s="13"/>
      <c r="M378" s="13"/>
    </row>
    <row r="379" spans="1:13" x14ac:dyDescent="0.25">
      <c r="A379" s="1" t="s">
        <v>934</v>
      </c>
      <c r="B379" s="1" t="s">
        <v>1381</v>
      </c>
      <c r="C379" s="1" t="s">
        <v>1382</v>
      </c>
      <c r="D379" s="1" t="s">
        <v>20</v>
      </c>
      <c r="E379" s="1" t="s">
        <v>1383</v>
      </c>
      <c r="F379" s="1" t="s">
        <v>40</v>
      </c>
      <c r="G379" s="1" t="s">
        <v>15</v>
      </c>
      <c r="H379" s="1" t="s">
        <v>24</v>
      </c>
      <c r="I379" s="1">
        <v>0</v>
      </c>
      <c r="J379" s="12">
        <f t="shared" si="10"/>
        <v>45294</v>
      </c>
      <c r="K379" s="14">
        <f t="shared" si="11"/>
        <v>1</v>
      </c>
      <c r="L379" s="13"/>
      <c r="M379" s="13"/>
    </row>
    <row r="380" spans="1:13" x14ac:dyDescent="0.25">
      <c r="A380" s="1" t="s">
        <v>1384</v>
      </c>
      <c r="B380" s="1" t="s">
        <v>1385</v>
      </c>
      <c r="C380" s="1" t="s">
        <v>1386</v>
      </c>
      <c r="D380" s="1" t="s">
        <v>12</v>
      </c>
      <c r="E380" s="1" t="s">
        <v>1387</v>
      </c>
      <c r="F380" s="1" t="s">
        <v>22</v>
      </c>
      <c r="G380" s="1" t="s">
        <v>15</v>
      </c>
      <c r="H380" s="1" t="s">
        <v>24</v>
      </c>
      <c r="I380" s="1">
        <v>0</v>
      </c>
      <c r="J380" s="12">
        <f t="shared" si="10"/>
        <v>45302</v>
      </c>
      <c r="K380" s="14">
        <f t="shared" si="11"/>
        <v>1</v>
      </c>
      <c r="L380" s="13"/>
      <c r="M380" s="13"/>
    </row>
    <row r="381" spans="1:13" x14ac:dyDescent="0.25">
      <c r="A381" s="1" t="s">
        <v>1388</v>
      </c>
      <c r="B381" s="1" t="s">
        <v>1389</v>
      </c>
      <c r="C381" s="1" t="s">
        <v>1390</v>
      </c>
      <c r="D381" s="1" t="s">
        <v>20</v>
      </c>
      <c r="E381" s="1" t="s">
        <v>1391</v>
      </c>
      <c r="F381" s="1" t="s">
        <v>14</v>
      </c>
      <c r="G381" s="1" t="s">
        <v>35</v>
      </c>
      <c r="H381" s="1" t="s">
        <v>41</v>
      </c>
      <c r="I381" s="1">
        <v>0</v>
      </c>
      <c r="J381" s="12">
        <f t="shared" si="10"/>
        <v>45308</v>
      </c>
      <c r="K381" s="14">
        <f t="shared" si="11"/>
        <v>1</v>
      </c>
      <c r="L381" s="13"/>
      <c r="M381" s="13"/>
    </row>
    <row r="382" spans="1:13" x14ac:dyDescent="0.25">
      <c r="A382" s="1" t="s">
        <v>1392</v>
      </c>
      <c r="B382" s="1" t="s">
        <v>1393</v>
      </c>
      <c r="C382" s="1" t="s">
        <v>1394</v>
      </c>
      <c r="D382" s="1" t="s">
        <v>45</v>
      </c>
      <c r="E382" s="1" t="s">
        <v>753</v>
      </c>
      <c r="F382" s="1" t="s">
        <v>40</v>
      </c>
      <c r="G382" s="1" t="s">
        <v>23</v>
      </c>
      <c r="H382" s="1" t="s">
        <v>24</v>
      </c>
      <c r="I382" s="1">
        <v>3073</v>
      </c>
      <c r="J382" s="12">
        <f t="shared" si="10"/>
        <v>45297</v>
      </c>
      <c r="K382" s="14">
        <f t="shared" si="11"/>
        <v>1</v>
      </c>
      <c r="L382" s="13"/>
      <c r="M382" s="13"/>
    </row>
    <row r="383" spans="1:13" x14ac:dyDescent="0.25">
      <c r="A383" s="1" t="s">
        <v>680</v>
      </c>
      <c r="B383" s="1" t="s">
        <v>1395</v>
      </c>
      <c r="C383" s="1" t="s">
        <v>1396</v>
      </c>
      <c r="D383" s="1" t="s">
        <v>20</v>
      </c>
      <c r="E383" s="1" t="s">
        <v>1397</v>
      </c>
      <c r="F383" s="1" t="s">
        <v>14</v>
      </c>
      <c r="G383" s="1" t="s">
        <v>35</v>
      </c>
      <c r="H383" s="1" t="s">
        <v>30</v>
      </c>
      <c r="I383" s="1">
        <v>0</v>
      </c>
      <c r="J383" s="12">
        <f t="shared" si="10"/>
        <v>45314</v>
      </c>
      <c r="K383" s="14">
        <f t="shared" si="11"/>
        <v>1</v>
      </c>
      <c r="L383" s="13"/>
      <c r="M383" s="13"/>
    </row>
    <row r="384" spans="1:13" x14ac:dyDescent="0.25">
      <c r="A384" s="1" t="s">
        <v>701</v>
      </c>
      <c r="B384" s="1" t="s">
        <v>1398</v>
      </c>
      <c r="C384" s="1" t="s">
        <v>1399</v>
      </c>
      <c r="D384" s="1" t="s">
        <v>45</v>
      </c>
      <c r="E384" s="1" t="s">
        <v>1400</v>
      </c>
      <c r="F384" s="1" t="s">
        <v>14</v>
      </c>
      <c r="G384" s="1" t="s">
        <v>23</v>
      </c>
      <c r="H384" s="1" t="s">
        <v>16</v>
      </c>
      <c r="I384" s="1">
        <v>4299</v>
      </c>
      <c r="J384" s="12">
        <f t="shared" si="10"/>
        <v>45318</v>
      </c>
      <c r="K384" s="14">
        <f t="shared" si="11"/>
        <v>1</v>
      </c>
      <c r="L384" s="13"/>
      <c r="M384" s="13"/>
    </row>
    <row r="385" spans="1:13" x14ac:dyDescent="0.25">
      <c r="A385" s="1" t="s">
        <v>1401</v>
      </c>
      <c r="B385" s="1" t="s">
        <v>1402</v>
      </c>
      <c r="C385" s="1" t="s">
        <v>1403</v>
      </c>
      <c r="D385" s="1" t="s">
        <v>12</v>
      </c>
      <c r="E385" s="1" t="s">
        <v>1136</v>
      </c>
      <c r="F385" s="1" t="s">
        <v>75</v>
      </c>
      <c r="G385" s="1" t="s">
        <v>15</v>
      </c>
      <c r="H385" s="1" t="s">
        <v>16</v>
      </c>
      <c r="I385" s="1">
        <v>0</v>
      </c>
      <c r="J385" s="12">
        <f t="shared" si="10"/>
        <v>45315</v>
      </c>
      <c r="K385" s="14">
        <f t="shared" si="11"/>
        <v>1</v>
      </c>
      <c r="L385" s="13"/>
      <c r="M385" s="13"/>
    </row>
    <row r="386" spans="1:13" x14ac:dyDescent="0.25">
      <c r="A386" s="1" t="s">
        <v>1317</v>
      </c>
      <c r="B386" s="1" t="s">
        <v>1404</v>
      </c>
      <c r="C386" s="1" t="s">
        <v>1405</v>
      </c>
      <c r="D386" s="1" t="s">
        <v>20</v>
      </c>
      <c r="E386" s="1" t="s">
        <v>1406</v>
      </c>
      <c r="F386" s="1" t="s">
        <v>40</v>
      </c>
      <c r="G386" s="1" t="s">
        <v>15</v>
      </c>
      <c r="H386" s="1" t="s">
        <v>55</v>
      </c>
      <c r="I386" s="1">
        <v>0</v>
      </c>
      <c r="J386" s="12">
        <f t="shared" si="10"/>
        <v>45318</v>
      </c>
      <c r="K386" s="14">
        <f t="shared" si="11"/>
        <v>1</v>
      </c>
      <c r="L386" s="13"/>
      <c r="M386" s="13"/>
    </row>
    <row r="387" spans="1:13" x14ac:dyDescent="0.25">
      <c r="A387" s="1" t="s">
        <v>1407</v>
      </c>
      <c r="B387" s="1" t="s">
        <v>1408</v>
      </c>
      <c r="C387" s="1" t="s">
        <v>1409</v>
      </c>
      <c r="D387" s="1" t="s">
        <v>20</v>
      </c>
      <c r="E387" s="1" t="s">
        <v>1051</v>
      </c>
      <c r="F387" s="1" t="s">
        <v>14</v>
      </c>
      <c r="G387" s="1" t="s">
        <v>23</v>
      </c>
      <c r="H387" s="1" t="s">
        <v>16</v>
      </c>
      <c r="I387" s="1">
        <v>0</v>
      </c>
      <c r="J387" s="12">
        <f t="shared" si="10"/>
        <v>45295</v>
      </c>
      <c r="K387" s="14">
        <f t="shared" si="11"/>
        <v>1</v>
      </c>
      <c r="L387" s="13"/>
      <c r="M387" s="13"/>
    </row>
    <row r="388" spans="1:13" x14ac:dyDescent="0.25">
      <c r="A388" s="1" t="s">
        <v>1090</v>
      </c>
      <c r="B388" s="1" t="s">
        <v>1410</v>
      </c>
      <c r="C388" s="1" t="s">
        <v>1411</v>
      </c>
      <c r="D388" s="1" t="s">
        <v>20</v>
      </c>
      <c r="E388" s="1" t="s">
        <v>1412</v>
      </c>
      <c r="F388" s="1" t="s">
        <v>14</v>
      </c>
      <c r="G388" s="1" t="s">
        <v>23</v>
      </c>
      <c r="H388" s="1" t="s">
        <v>30</v>
      </c>
      <c r="I388" s="1">
        <v>0</v>
      </c>
      <c r="J388" s="12">
        <f t="shared" ref="J388:J451" si="12">INT(C388)</f>
        <v>45324</v>
      </c>
      <c r="K388" s="14">
        <f t="shared" ref="K388:K451" si="13">MONTH(C388)</f>
        <v>2</v>
      </c>
      <c r="L388" s="13"/>
      <c r="M388" s="13"/>
    </row>
    <row r="389" spans="1:13" x14ac:dyDescent="0.25">
      <c r="A389" s="1" t="s">
        <v>240</v>
      </c>
      <c r="B389" s="1" t="s">
        <v>1413</v>
      </c>
      <c r="C389" s="1" t="s">
        <v>1414</v>
      </c>
      <c r="D389" s="1" t="s">
        <v>12</v>
      </c>
      <c r="E389" s="1" t="s">
        <v>1415</v>
      </c>
      <c r="F389" s="1" t="s">
        <v>40</v>
      </c>
      <c r="G389" s="1" t="s">
        <v>15</v>
      </c>
      <c r="H389" s="1" t="s">
        <v>16</v>
      </c>
      <c r="I389" s="1">
        <v>0</v>
      </c>
      <c r="J389" s="12">
        <f t="shared" si="12"/>
        <v>45298</v>
      </c>
      <c r="K389" s="14">
        <f t="shared" si="13"/>
        <v>1</v>
      </c>
      <c r="L389" s="13"/>
      <c r="M389" s="13"/>
    </row>
    <row r="390" spans="1:13" x14ac:dyDescent="0.25">
      <c r="A390" s="1" t="s">
        <v>1416</v>
      </c>
      <c r="B390" s="1" t="s">
        <v>1417</v>
      </c>
      <c r="C390" s="1" t="s">
        <v>1418</v>
      </c>
      <c r="D390" s="1" t="s">
        <v>12</v>
      </c>
      <c r="E390" s="1" t="s">
        <v>1419</v>
      </c>
      <c r="F390" s="1" t="s">
        <v>22</v>
      </c>
      <c r="G390" s="1" t="s">
        <v>23</v>
      </c>
      <c r="H390" s="1" t="s">
        <v>55</v>
      </c>
      <c r="I390" s="1">
        <v>0</v>
      </c>
      <c r="J390" s="12">
        <f t="shared" si="12"/>
        <v>45326</v>
      </c>
      <c r="K390" s="14">
        <f t="shared" si="13"/>
        <v>2</v>
      </c>
      <c r="L390" s="13"/>
      <c r="M390" s="13"/>
    </row>
    <row r="391" spans="1:13" x14ac:dyDescent="0.25">
      <c r="A391" s="1" t="s">
        <v>1420</v>
      </c>
      <c r="B391" s="1" t="s">
        <v>1421</v>
      </c>
      <c r="C391" s="1" t="s">
        <v>1422</v>
      </c>
      <c r="D391" s="1" t="s">
        <v>20</v>
      </c>
      <c r="E391" s="1" t="s">
        <v>1423</v>
      </c>
      <c r="F391" s="1" t="s">
        <v>14</v>
      </c>
      <c r="G391" s="1" t="s">
        <v>23</v>
      </c>
      <c r="H391" s="1" t="s">
        <v>55</v>
      </c>
      <c r="I391" s="1">
        <v>0</v>
      </c>
      <c r="J391" s="12">
        <f t="shared" si="12"/>
        <v>45321</v>
      </c>
      <c r="K391" s="14">
        <f t="shared" si="13"/>
        <v>1</v>
      </c>
      <c r="L391" s="13"/>
      <c r="M391" s="13"/>
    </row>
    <row r="392" spans="1:13" x14ac:dyDescent="0.25">
      <c r="A392" s="1" t="s">
        <v>1424</v>
      </c>
      <c r="B392" s="1" t="s">
        <v>1425</v>
      </c>
      <c r="C392" s="1" t="s">
        <v>1426</v>
      </c>
      <c r="D392" s="1" t="s">
        <v>45</v>
      </c>
      <c r="E392" s="1" t="s">
        <v>1427</v>
      </c>
      <c r="F392" s="1" t="s">
        <v>29</v>
      </c>
      <c r="G392" s="1" t="s">
        <v>35</v>
      </c>
      <c r="H392" s="1" t="s">
        <v>24</v>
      </c>
      <c r="I392" s="1">
        <v>3128</v>
      </c>
      <c r="J392" s="12">
        <f t="shared" si="12"/>
        <v>45295</v>
      </c>
      <c r="K392" s="14">
        <f t="shared" si="13"/>
        <v>1</v>
      </c>
      <c r="L392" s="13"/>
      <c r="M392" s="13"/>
    </row>
    <row r="393" spans="1:13" x14ac:dyDescent="0.25">
      <c r="A393" s="1" t="s">
        <v>1428</v>
      </c>
      <c r="B393" s="1" t="s">
        <v>1429</v>
      </c>
      <c r="C393" s="1" t="s">
        <v>1430</v>
      </c>
      <c r="D393" s="1" t="s">
        <v>20</v>
      </c>
      <c r="E393" s="1" t="s">
        <v>608</v>
      </c>
      <c r="F393" s="1" t="s">
        <v>40</v>
      </c>
      <c r="G393" s="1" t="s">
        <v>23</v>
      </c>
      <c r="H393" s="1" t="s">
        <v>55</v>
      </c>
      <c r="I393" s="1">
        <v>0</v>
      </c>
      <c r="J393" s="12">
        <f t="shared" si="12"/>
        <v>45298</v>
      </c>
      <c r="K393" s="14">
        <f t="shared" si="13"/>
        <v>1</v>
      </c>
      <c r="L393" s="13"/>
      <c r="M393" s="13"/>
    </row>
    <row r="394" spans="1:13" x14ac:dyDescent="0.25">
      <c r="A394" s="1" t="s">
        <v>1431</v>
      </c>
      <c r="B394" s="1" t="s">
        <v>1432</v>
      </c>
      <c r="C394" s="1" t="s">
        <v>1433</v>
      </c>
      <c r="D394" s="1" t="s">
        <v>45</v>
      </c>
      <c r="E394" s="1" t="s">
        <v>1434</v>
      </c>
      <c r="F394" s="1" t="s">
        <v>75</v>
      </c>
      <c r="G394" s="1" t="s">
        <v>35</v>
      </c>
      <c r="H394" s="1" t="s">
        <v>24</v>
      </c>
      <c r="I394" s="1">
        <v>3758</v>
      </c>
      <c r="J394" s="12">
        <f t="shared" si="12"/>
        <v>45296</v>
      </c>
      <c r="K394" s="14">
        <f t="shared" si="13"/>
        <v>1</v>
      </c>
      <c r="L394" s="13"/>
      <c r="M394" s="13"/>
    </row>
    <row r="395" spans="1:13" x14ac:dyDescent="0.25">
      <c r="A395" s="1" t="s">
        <v>92</v>
      </c>
      <c r="B395" s="1" t="s">
        <v>1435</v>
      </c>
      <c r="C395" s="1" t="s">
        <v>1436</v>
      </c>
      <c r="D395" s="1" t="s">
        <v>45</v>
      </c>
      <c r="E395" s="1" t="s">
        <v>1387</v>
      </c>
      <c r="F395" s="1" t="s">
        <v>14</v>
      </c>
      <c r="G395" s="1" t="s">
        <v>35</v>
      </c>
      <c r="H395" s="1" t="s">
        <v>55</v>
      </c>
      <c r="I395" s="1">
        <v>3718</v>
      </c>
      <c r="J395" s="12">
        <f t="shared" si="12"/>
        <v>45311</v>
      </c>
      <c r="K395" s="14">
        <f t="shared" si="13"/>
        <v>1</v>
      </c>
      <c r="L395" s="13"/>
      <c r="M395" s="13"/>
    </row>
    <row r="396" spans="1:13" x14ac:dyDescent="0.25">
      <c r="A396" s="1" t="s">
        <v>1437</v>
      </c>
      <c r="B396" s="1" t="s">
        <v>1438</v>
      </c>
      <c r="C396" s="1" t="s">
        <v>1439</v>
      </c>
      <c r="D396" s="1" t="s">
        <v>45</v>
      </c>
      <c r="E396" s="1" t="s">
        <v>1440</v>
      </c>
      <c r="F396" s="1" t="s">
        <v>14</v>
      </c>
      <c r="G396" s="1" t="s">
        <v>15</v>
      </c>
      <c r="H396" s="1" t="s">
        <v>41</v>
      </c>
      <c r="I396" s="1">
        <v>2659</v>
      </c>
      <c r="J396" s="12">
        <f t="shared" si="12"/>
        <v>45314</v>
      </c>
      <c r="K396" s="14">
        <f t="shared" si="13"/>
        <v>1</v>
      </c>
      <c r="L396" s="13"/>
      <c r="M396" s="13"/>
    </row>
    <row r="397" spans="1:13" x14ac:dyDescent="0.25">
      <c r="A397" s="1" t="s">
        <v>1441</v>
      </c>
      <c r="B397" s="1" t="s">
        <v>1442</v>
      </c>
      <c r="C397" s="1" t="s">
        <v>1443</v>
      </c>
      <c r="D397" s="1" t="s">
        <v>12</v>
      </c>
      <c r="E397" s="1" t="s">
        <v>1444</v>
      </c>
      <c r="F397" s="1" t="s">
        <v>22</v>
      </c>
      <c r="G397" s="1" t="s">
        <v>15</v>
      </c>
      <c r="H397" s="1" t="s">
        <v>41</v>
      </c>
      <c r="I397" s="1">
        <v>0</v>
      </c>
      <c r="J397" s="12">
        <f t="shared" si="12"/>
        <v>45318</v>
      </c>
      <c r="K397" s="14">
        <f t="shared" si="13"/>
        <v>1</v>
      </c>
      <c r="L397" s="13"/>
      <c r="M397" s="13"/>
    </row>
    <row r="398" spans="1:13" x14ac:dyDescent="0.25">
      <c r="A398" s="1" t="s">
        <v>1445</v>
      </c>
      <c r="B398" s="1" t="s">
        <v>1446</v>
      </c>
      <c r="C398" s="1" t="s">
        <v>1447</v>
      </c>
      <c r="D398" s="1" t="s">
        <v>20</v>
      </c>
      <c r="E398" s="1" t="s">
        <v>239</v>
      </c>
      <c r="F398" s="1" t="s">
        <v>22</v>
      </c>
      <c r="G398" s="1" t="s">
        <v>35</v>
      </c>
      <c r="H398" s="1" t="s">
        <v>41</v>
      </c>
      <c r="I398" s="1">
        <v>0</v>
      </c>
      <c r="J398" s="12">
        <f t="shared" si="12"/>
        <v>45319</v>
      </c>
      <c r="K398" s="14">
        <f t="shared" si="13"/>
        <v>1</v>
      </c>
      <c r="L398" s="13"/>
      <c r="M398" s="13"/>
    </row>
    <row r="399" spans="1:13" x14ac:dyDescent="0.25">
      <c r="A399" s="1" t="s">
        <v>1448</v>
      </c>
      <c r="B399" s="1" t="s">
        <v>1449</v>
      </c>
      <c r="C399" s="1" t="s">
        <v>1450</v>
      </c>
      <c r="D399" s="1" t="s">
        <v>12</v>
      </c>
      <c r="E399" s="1" t="s">
        <v>1278</v>
      </c>
      <c r="F399" s="1" t="s">
        <v>22</v>
      </c>
      <c r="G399" s="1" t="s">
        <v>35</v>
      </c>
      <c r="H399" s="1" t="s">
        <v>41</v>
      </c>
      <c r="I399" s="1">
        <v>0</v>
      </c>
      <c r="J399" s="12">
        <f t="shared" si="12"/>
        <v>45307</v>
      </c>
      <c r="K399" s="14">
        <f t="shared" si="13"/>
        <v>1</v>
      </c>
      <c r="L399" s="13"/>
      <c r="M399" s="13"/>
    </row>
    <row r="400" spans="1:13" x14ac:dyDescent="0.25">
      <c r="A400" s="1" t="s">
        <v>1451</v>
      </c>
      <c r="B400" s="1" t="s">
        <v>1452</v>
      </c>
      <c r="C400" s="1" t="s">
        <v>1453</v>
      </c>
      <c r="D400" s="1" t="s">
        <v>12</v>
      </c>
      <c r="E400" s="1" t="s">
        <v>1454</v>
      </c>
      <c r="F400" s="1" t="s">
        <v>29</v>
      </c>
      <c r="G400" s="1" t="s">
        <v>15</v>
      </c>
      <c r="H400" s="1" t="s">
        <v>41</v>
      </c>
      <c r="I400" s="1">
        <v>0</v>
      </c>
      <c r="J400" s="12">
        <f t="shared" si="12"/>
        <v>45317</v>
      </c>
      <c r="K400" s="14">
        <f t="shared" si="13"/>
        <v>1</v>
      </c>
      <c r="L400" s="13"/>
      <c r="M400" s="13"/>
    </row>
    <row r="401" spans="1:13" x14ac:dyDescent="0.25">
      <c r="A401" s="1" t="s">
        <v>882</v>
      </c>
      <c r="B401" s="1" t="s">
        <v>1455</v>
      </c>
      <c r="C401" s="1" t="s">
        <v>1456</v>
      </c>
      <c r="D401" s="1" t="s">
        <v>12</v>
      </c>
      <c r="E401" s="1" t="s">
        <v>1457</v>
      </c>
      <c r="F401" s="1" t="s">
        <v>14</v>
      </c>
      <c r="G401" s="1" t="s">
        <v>23</v>
      </c>
      <c r="H401" s="1" t="s">
        <v>41</v>
      </c>
      <c r="I401" s="1">
        <v>0</v>
      </c>
      <c r="J401" s="12">
        <f t="shared" si="12"/>
        <v>45292</v>
      </c>
      <c r="K401" s="14">
        <f t="shared" si="13"/>
        <v>1</v>
      </c>
      <c r="L401" s="13"/>
      <c r="M401" s="13"/>
    </row>
    <row r="402" spans="1:13" x14ac:dyDescent="0.25">
      <c r="A402" s="1" t="s">
        <v>499</v>
      </c>
      <c r="B402" s="1" t="s">
        <v>1458</v>
      </c>
      <c r="C402" s="1" t="s">
        <v>1459</v>
      </c>
      <c r="D402" s="1" t="s">
        <v>12</v>
      </c>
      <c r="E402" s="1" t="s">
        <v>523</v>
      </c>
      <c r="F402" s="1" t="s">
        <v>40</v>
      </c>
      <c r="G402" s="1" t="s">
        <v>23</v>
      </c>
      <c r="H402" s="1" t="s">
        <v>16</v>
      </c>
      <c r="I402" s="1">
        <v>0</v>
      </c>
      <c r="J402" s="12">
        <f t="shared" si="12"/>
        <v>45304</v>
      </c>
      <c r="K402" s="14">
        <f t="shared" si="13"/>
        <v>1</v>
      </c>
      <c r="L402" s="13"/>
      <c r="M402" s="13"/>
    </row>
    <row r="403" spans="1:13" x14ac:dyDescent="0.25">
      <c r="A403" s="1" t="s">
        <v>1460</v>
      </c>
      <c r="B403" s="1" t="s">
        <v>1461</v>
      </c>
      <c r="C403" s="1" t="s">
        <v>1462</v>
      </c>
      <c r="D403" s="1" t="s">
        <v>45</v>
      </c>
      <c r="E403" s="1" t="s">
        <v>1463</v>
      </c>
      <c r="F403" s="1" t="s">
        <v>14</v>
      </c>
      <c r="G403" s="1" t="s">
        <v>35</v>
      </c>
      <c r="H403" s="1" t="s">
        <v>16</v>
      </c>
      <c r="I403" s="1">
        <v>1633</v>
      </c>
      <c r="J403" s="12">
        <f t="shared" si="12"/>
        <v>45304</v>
      </c>
      <c r="K403" s="14">
        <f t="shared" si="13"/>
        <v>1</v>
      </c>
      <c r="L403" s="13"/>
      <c r="M403" s="13"/>
    </row>
    <row r="404" spans="1:13" x14ac:dyDescent="0.25">
      <c r="A404" s="1" t="s">
        <v>1464</v>
      </c>
      <c r="B404" s="1" t="s">
        <v>1465</v>
      </c>
      <c r="C404" s="1" t="s">
        <v>1466</v>
      </c>
      <c r="D404" s="1" t="s">
        <v>20</v>
      </c>
      <c r="E404" s="1" t="s">
        <v>1467</v>
      </c>
      <c r="F404" s="1" t="s">
        <v>75</v>
      </c>
      <c r="G404" s="1" t="s">
        <v>15</v>
      </c>
      <c r="H404" s="1" t="s">
        <v>41</v>
      </c>
      <c r="I404" s="1">
        <v>0</v>
      </c>
      <c r="J404" s="12">
        <f t="shared" si="12"/>
        <v>45323</v>
      </c>
      <c r="K404" s="14">
        <f t="shared" si="13"/>
        <v>2</v>
      </c>
      <c r="L404" s="13"/>
      <c r="M404" s="13"/>
    </row>
    <row r="405" spans="1:13" x14ac:dyDescent="0.25">
      <c r="A405" s="1" t="s">
        <v>281</v>
      </c>
      <c r="B405" s="1" t="s">
        <v>1468</v>
      </c>
      <c r="C405" s="1" t="s">
        <v>1469</v>
      </c>
      <c r="D405" s="1" t="s">
        <v>12</v>
      </c>
      <c r="E405" s="1" t="s">
        <v>426</v>
      </c>
      <c r="F405" s="1" t="s">
        <v>75</v>
      </c>
      <c r="G405" s="1" t="s">
        <v>15</v>
      </c>
      <c r="H405" s="1" t="s">
        <v>30</v>
      </c>
      <c r="I405" s="1">
        <v>0</v>
      </c>
      <c r="J405" s="12">
        <f t="shared" si="12"/>
        <v>45299</v>
      </c>
      <c r="K405" s="14">
        <f t="shared" si="13"/>
        <v>1</v>
      </c>
      <c r="L405" s="13"/>
      <c r="M405" s="13"/>
    </row>
    <row r="406" spans="1:13" x14ac:dyDescent="0.25">
      <c r="A406" s="1" t="s">
        <v>1470</v>
      </c>
      <c r="B406" s="1" t="s">
        <v>1471</v>
      </c>
      <c r="C406" s="1" t="s">
        <v>1472</v>
      </c>
      <c r="D406" s="1" t="s">
        <v>12</v>
      </c>
      <c r="E406" s="1" t="s">
        <v>389</v>
      </c>
      <c r="F406" s="1" t="s">
        <v>14</v>
      </c>
      <c r="G406" s="1" t="s">
        <v>35</v>
      </c>
      <c r="H406" s="1" t="s">
        <v>16</v>
      </c>
      <c r="I406" s="1">
        <v>0</v>
      </c>
      <c r="J406" s="12">
        <f t="shared" si="12"/>
        <v>45297</v>
      </c>
      <c r="K406" s="14">
        <f t="shared" si="13"/>
        <v>1</v>
      </c>
      <c r="L406" s="13"/>
      <c r="M406" s="13"/>
    </row>
    <row r="407" spans="1:13" x14ac:dyDescent="0.25">
      <c r="A407" s="1" t="s">
        <v>1473</v>
      </c>
      <c r="B407" s="1" t="s">
        <v>1474</v>
      </c>
      <c r="C407" s="1" t="s">
        <v>1475</v>
      </c>
      <c r="D407" s="1" t="s">
        <v>45</v>
      </c>
      <c r="E407" s="1" t="s">
        <v>1476</v>
      </c>
      <c r="F407" s="1" t="s">
        <v>22</v>
      </c>
      <c r="G407" s="1" t="s">
        <v>35</v>
      </c>
      <c r="H407" s="1" t="s">
        <v>16</v>
      </c>
      <c r="I407" s="1">
        <v>4667</v>
      </c>
      <c r="J407" s="12">
        <f t="shared" si="12"/>
        <v>45306</v>
      </c>
      <c r="K407" s="14">
        <f t="shared" si="13"/>
        <v>1</v>
      </c>
      <c r="L407" s="13"/>
      <c r="M407" s="13"/>
    </row>
    <row r="408" spans="1:13" x14ac:dyDescent="0.25">
      <c r="A408" s="1" t="s">
        <v>1477</v>
      </c>
      <c r="B408" s="1" t="s">
        <v>1478</v>
      </c>
      <c r="C408" s="1" t="s">
        <v>1479</v>
      </c>
      <c r="D408" s="1" t="s">
        <v>12</v>
      </c>
      <c r="E408" s="1" t="s">
        <v>1480</v>
      </c>
      <c r="F408" s="1" t="s">
        <v>14</v>
      </c>
      <c r="G408" s="1" t="s">
        <v>23</v>
      </c>
      <c r="H408" s="1" t="s">
        <v>41</v>
      </c>
      <c r="I408" s="1">
        <v>0</v>
      </c>
      <c r="J408" s="12">
        <f t="shared" si="12"/>
        <v>45294</v>
      </c>
      <c r="K408" s="14">
        <f t="shared" si="13"/>
        <v>1</v>
      </c>
      <c r="L408" s="13"/>
      <c r="M408" s="13"/>
    </row>
    <row r="409" spans="1:13" x14ac:dyDescent="0.25">
      <c r="A409" s="1" t="s">
        <v>80</v>
      </c>
      <c r="B409" s="1" t="s">
        <v>1481</v>
      </c>
      <c r="C409" s="1" t="s">
        <v>1482</v>
      </c>
      <c r="D409" s="1" t="s">
        <v>20</v>
      </c>
      <c r="E409" s="1" t="s">
        <v>1483</v>
      </c>
      <c r="F409" s="1" t="s">
        <v>75</v>
      </c>
      <c r="G409" s="1" t="s">
        <v>15</v>
      </c>
      <c r="H409" s="1" t="s">
        <v>30</v>
      </c>
      <c r="I409" s="1">
        <v>0</v>
      </c>
      <c r="J409" s="12">
        <f t="shared" si="12"/>
        <v>45311</v>
      </c>
      <c r="K409" s="14">
        <f t="shared" si="13"/>
        <v>1</v>
      </c>
      <c r="L409" s="13"/>
      <c r="M409" s="13"/>
    </row>
    <row r="410" spans="1:13" x14ac:dyDescent="0.25">
      <c r="A410" s="1" t="s">
        <v>941</v>
      </c>
      <c r="B410" s="1" t="s">
        <v>1484</v>
      </c>
      <c r="C410" s="1" t="s">
        <v>1485</v>
      </c>
      <c r="D410" s="1" t="s">
        <v>45</v>
      </c>
      <c r="E410" s="1" t="s">
        <v>270</v>
      </c>
      <c r="F410" s="1" t="s">
        <v>29</v>
      </c>
      <c r="G410" s="1" t="s">
        <v>23</v>
      </c>
      <c r="H410" s="1" t="s">
        <v>55</v>
      </c>
      <c r="I410" s="1">
        <v>3586</v>
      </c>
      <c r="J410" s="12">
        <f t="shared" si="12"/>
        <v>45306</v>
      </c>
      <c r="K410" s="14">
        <f t="shared" si="13"/>
        <v>1</v>
      </c>
      <c r="L410" s="13"/>
      <c r="M410" s="13"/>
    </row>
    <row r="411" spans="1:13" x14ac:dyDescent="0.25">
      <c r="A411" s="1" t="s">
        <v>1486</v>
      </c>
      <c r="B411" s="1" t="s">
        <v>1487</v>
      </c>
      <c r="C411" s="1" t="s">
        <v>1488</v>
      </c>
      <c r="D411" s="1" t="s">
        <v>20</v>
      </c>
      <c r="E411" s="1" t="s">
        <v>1489</v>
      </c>
      <c r="F411" s="1" t="s">
        <v>29</v>
      </c>
      <c r="G411" s="1" t="s">
        <v>35</v>
      </c>
      <c r="H411" s="1" t="s">
        <v>30</v>
      </c>
      <c r="I411" s="1">
        <v>0</v>
      </c>
      <c r="J411" s="12">
        <f t="shared" si="12"/>
        <v>45316</v>
      </c>
      <c r="K411" s="14">
        <f t="shared" si="13"/>
        <v>1</v>
      </c>
      <c r="L411" s="13"/>
      <c r="M411" s="13"/>
    </row>
    <row r="412" spans="1:13" x14ac:dyDescent="0.25">
      <c r="A412" s="1" t="s">
        <v>412</v>
      </c>
      <c r="B412" s="1" t="s">
        <v>1490</v>
      </c>
      <c r="C412" s="1" t="s">
        <v>1491</v>
      </c>
      <c r="D412" s="1" t="s">
        <v>12</v>
      </c>
      <c r="E412" s="1" t="s">
        <v>59</v>
      </c>
      <c r="F412" s="1" t="s">
        <v>29</v>
      </c>
      <c r="G412" s="1" t="s">
        <v>23</v>
      </c>
      <c r="H412" s="1" t="s">
        <v>24</v>
      </c>
      <c r="I412" s="1">
        <v>0</v>
      </c>
      <c r="J412" s="12">
        <f t="shared" si="12"/>
        <v>45323</v>
      </c>
      <c r="K412" s="14">
        <f t="shared" si="13"/>
        <v>2</v>
      </c>
      <c r="L412" s="13"/>
      <c r="M412" s="13"/>
    </row>
    <row r="413" spans="1:13" x14ac:dyDescent="0.25">
      <c r="A413" s="1" t="s">
        <v>1492</v>
      </c>
      <c r="B413" s="1" t="s">
        <v>1493</v>
      </c>
      <c r="C413" s="1" t="s">
        <v>1494</v>
      </c>
      <c r="D413" s="1" t="s">
        <v>45</v>
      </c>
      <c r="E413" s="1" t="s">
        <v>1495</v>
      </c>
      <c r="F413" s="1" t="s">
        <v>75</v>
      </c>
      <c r="G413" s="1" t="s">
        <v>35</v>
      </c>
      <c r="H413" s="1" t="s">
        <v>55</v>
      </c>
      <c r="I413" s="1">
        <v>3791</v>
      </c>
      <c r="J413" s="12">
        <f t="shared" si="12"/>
        <v>45322</v>
      </c>
      <c r="K413" s="14">
        <f t="shared" si="13"/>
        <v>1</v>
      </c>
      <c r="L413" s="13"/>
      <c r="M413" s="13"/>
    </row>
    <row r="414" spans="1:13" x14ac:dyDescent="0.25">
      <c r="A414" s="1" t="s">
        <v>1078</v>
      </c>
      <c r="B414" s="1" t="s">
        <v>1496</v>
      </c>
      <c r="C414" s="1" t="s">
        <v>1497</v>
      </c>
      <c r="D414" s="1" t="s">
        <v>20</v>
      </c>
      <c r="E414" s="1" t="s">
        <v>1498</v>
      </c>
      <c r="F414" s="1" t="s">
        <v>40</v>
      </c>
      <c r="G414" s="1" t="s">
        <v>15</v>
      </c>
      <c r="H414" s="1" t="s">
        <v>55</v>
      </c>
      <c r="I414" s="1">
        <v>0</v>
      </c>
      <c r="J414" s="12">
        <f t="shared" si="12"/>
        <v>45296</v>
      </c>
      <c r="K414" s="14">
        <f t="shared" si="13"/>
        <v>1</v>
      </c>
      <c r="L414" s="13"/>
      <c r="M414" s="13"/>
    </row>
    <row r="415" spans="1:13" x14ac:dyDescent="0.25">
      <c r="A415" s="1" t="s">
        <v>866</v>
      </c>
      <c r="B415" s="1" t="s">
        <v>1499</v>
      </c>
      <c r="C415" s="1" t="s">
        <v>1500</v>
      </c>
      <c r="D415" s="1" t="s">
        <v>45</v>
      </c>
      <c r="E415" s="1" t="s">
        <v>247</v>
      </c>
      <c r="F415" s="1" t="s">
        <v>14</v>
      </c>
      <c r="G415" s="1" t="s">
        <v>35</v>
      </c>
      <c r="H415" s="1" t="s">
        <v>30</v>
      </c>
      <c r="I415" s="1">
        <v>4040</v>
      </c>
      <c r="J415" s="12">
        <f t="shared" si="12"/>
        <v>45297</v>
      </c>
      <c r="K415" s="14">
        <f t="shared" si="13"/>
        <v>1</v>
      </c>
      <c r="L415" s="13"/>
      <c r="M415" s="13"/>
    </row>
    <row r="416" spans="1:13" x14ac:dyDescent="0.25">
      <c r="A416" s="1" t="s">
        <v>900</v>
      </c>
      <c r="B416" s="1" t="s">
        <v>1501</v>
      </c>
      <c r="C416" s="1" t="s">
        <v>1502</v>
      </c>
      <c r="D416" s="1" t="s">
        <v>20</v>
      </c>
      <c r="E416" s="1" t="s">
        <v>1503</v>
      </c>
      <c r="F416" s="1" t="s">
        <v>22</v>
      </c>
      <c r="G416" s="1" t="s">
        <v>23</v>
      </c>
      <c r="H416" s="1" t="s">
        <v>16</v>
      </c>
      <c r="I416" s="1">
        <v>0</v>
      </c>
      <c r="J416" s="12">
        <f t="shared" si="12"/>
        <v>45303</v>
      </c>
      <c r="K416" s="14">
        <f t="shared" si="13"/>
        <v>1</v>
      </c>
      <c r="L416" s="13"/>
      <c r="M416" s="13"/>
    </row>
    <row r="417" spans="1:13" x14ac:dyDescent="0.25">
      <c r="A417" s="1" t="s">
        <v>1504</v>
      </c>
      <c r="B417" s="1" t="s">
        <v>1505</v>
      </c>
      <c r="C417" s="1" t="s">
        <v>1506</v>
      </c>
      <c r="D417" s="1" t="s">
        <v>12</v>
      </c>
      <c r="E417" s="1" t="s">
        <v>1507</v>
      </c>
      <c r="F417" s="1" t="s">
        <v>29</v>
      </c>
      <c r="G417" s="1" t="s">
        <v>23</v>
      </c>
      <c r="H417" s="1" t="s">
        <v>41</v>
      </c>
      <c r="I417" s="1">
        <v>0</v>
      </c>
      <c r="J417" s="12">
        <f t="shared" si="12"/>
        <v>45322</v>
      </c>
      <c r="K417" s="14">
        <f t="shared" si="13"/>
        <v>1</v>
      </c>
      <c r="L417" s="13"/>
      <c r="M417" s="13"/>
    </row>
    <row r="418" spans="1:13" x14ac:dyDescent="0.25">
      <c r="A418" s="1" t="s">
        <v>1508</v>
      </c>
      <c r="B418" s="1" t="s">
        <v>1509</v>
      </c>
      <c r="C418" s="1" t="s">
        <v>1510</v>
      </c>
      <c r="D418" s="1" t="s">
        <v>20</v>
      </c>
      <c r="E418" s="1" t="s">
        <v>1511</v>
      </c>
      <c r="F418" s="1" t="s">
        <v>22</v>
      </c>
      <c r="G418" s="1" t="s">
        <v>23</v>
      </c>
      <c r="H418" s="1" t="s">
        <v>16</v>
      </c>
      <c r="I418" s="1">
        <v>0</v>
      </c>
      <c r="J418" s="12">
        <f t="shared" si="12"/>
        <v>45325</v>
      </c>
      <c r="K418" s="14">
        <f t="shared" si="13"/>
        <v>2</v>
      </c>
      <c r="L418" s="13"/>
      <c r="M418" s="13"/>
    </row>
    <row r="419" spans="1:13" x14ac:dyDescent="0.25">
      <c r="A419" s="1" t="s">
        <v>1512</v>
      </c>
      <c r="B419" s="1" t="s">
        <v>1513</v>
      </c>
      <c r="C419" s="1" t="s">
        <v>1514</v>
      </c>
      <c r="D419" s="1" t="s">
        <v>20</v>
      </c>
      <c r="E419" s="1" t="s">
        <v>342</v>
      </c>
      <c r="F419" s="1" t="s">
        <v>75</v>
      </c>
      <c r="G419" s="1" t="s">
        <v>35</v>
      </c>
      <c r="H419" s="1" t="s">
        <v>16</v>
      </c>
      <c r="I419" s="1">
        <v>0</v>
      </c>
      <c r="J419" s="12">
        <f t="shared" si="12"/>
        <v>45316</v>
      </c>
      <c r="K419" s="14">
        <f t="shared" si="13"/>
        <v>1</v>
      </c>
      <c r="L419" s="13"/>
      <c r="M419" s="13"/>
    </row>
    <row r="420" spans="1:13" x14ac:dyDescent="0.25">
      <c r="A420" s="1" t="s">
        <v>1515</v>
      </c>
      <c r="B420" s="1" t="s">
        <v>1516</v>
      </c>
      <c r="C420" s="1" t="s">
        <v>1517</v>
      </c>
      <c r="D420" s="1" t="s">
        <v>12</v>
      </c>
      <c r="E420" s="1" t="s">
        <v>881</v>
      </c>
      <c r="F420" s="1" t="s">
        <v>75</v>
      </c>
      <c r="G420" s="1" t="s">
        <v>15</v>
      </c>
      <c r="H420" s="1" t="s">
        <v>55</v>
      </c>
      <c r="I420" s="1">
        <v>0</v>
      </c>
      <c r="J420" s="12">
        <f t="shared" si="12"/>
        <v>45312</v>
      </c>
      <c r="K420" s="14">
        <f t="shared" si="13"/>
        <v>1</v>
      </c>
      <c r="L420" s="13"/>
      <c r="M420" s="13"/>
    </row>
    <row r="421" spans="1:13" x14ac:dyDescent="0.25">
      <c r="A421" s="1" t="s">
        <v>1518</v>
      </c>
      <c r="B421" s="1" t="s">
        <v>1519</v>
      </c>
      <c r="C421" s="1" t="s">
        <v>1520</v>
      </c>
      <c r="D421" s="1" t="s">
        <v>45</v>
      </c>
      <c r="E421" s="1" t="s">
        <v>1521</v>
      </c>
      <c r="F421" s="1" t="s">
        <v>14</v>
      </c>
      <c r="G421" s="1" t="s">
        <v>23</v>
      </c>
      <c r="H421" s="1" t="s">
        <v>24</v>
      </c>
      <c r="I421" s="1">
        <v>534</v>
      </c>
      <c r="J421" s="12">
        <f t="shared" si="12"/>
        <v>45324</v>
      </c>
      <c r="K421" s="14">
        <f t="shared" si="13"/>
        <v>2</v>
      </c>
      <c r="L421" s="13"/>
      <c r="M421" s="13"/>
    </row>
    <row r="422" spans="1:13" x14ac:dyDescent="0.25">
      <c r="A422" s="1" t="s">
        <v>1522</v>
      </c>
      <c r="B422" s="1" t="s">
        <v>1523</v>
      </c>
      <c r="C422" s="1" t="s">
        <v>1524</v>
      </c>
      <c r="D422" s="1" t="s">
        <v>12</v>
      </c>
      <c r="E422" s="1" t="s">
        <v>1525</v>
      </c>
      <c r="F422" s="1" t="s">
        <v>29</v>
      </c>
      <c r="G422" s="1" t="s">
        <v>35</v>
      </c>
      <c r="H422" s="1" t="s">
        <v>16</v>
      </c>
      <c r="I422" s="1">
        <v>0</v>
      </c>
      <c r="J422" s="12">
        <f t="shared" si="12"/>
        <v>45293</v>
      </c>
      <c r="K422" s="14">
        <f t="shared" si="13"/>
        <v>1</v>
      </c>
      <c r="L422" s="13"/>
      <c r="M422" s="13"/>
    </row>
    <row r="423" spans="1:13" x14ac:dyDescent="0.25">
      <c r="A423" s="1" t="s">
        <v>1526</v>
      </c>
      <c r="B423" s="1" t="s">
        <v>1527</v>
      </c>
      <c r="C423" s="1" t="s">
        <v>1528</v>
      </c>
      <c r="D423" s="1" t="s">
        <v>20</v>
      </c>
      <c r="E423" s="1" t="s">
        <v>1529</v>
      </c>
      <c r="F423" s="1" t="s">
        <v>75</v>
      </c>
      <c r="G423" s="1" t="s">
        <v>15</v>
      </c>
      <c r="H423" s="1" t="s">
        <v>24</v>
      </c>
      <c r="I423" s="1">
        <v>0</v>
      </c>
      <c r="J423" s="12">
        <f t="shared" si="12"/>
        <v>45323</v>
      </c>
      <c r="K423" s="14">
        <f t="shared" si="13"/>
        <v>2</v>
      </c>
      <c r="L423" s="13"/>
      <c r="M423" s="13"/>
    </row>
    <row r="424" spans="1:13" x14ac:dyDescent="0.25">
      <c r="A424" s="1" t="s">
        <v>1530</v>
      </c>
      <c r="B424" s="1" t="s">
        <v>1531</v>
      </c>
      <c r="C424" s="1" t="s">
        <v>1532</v>
      </c>
      <c r="D424" s="1" t="s">
        <v>20</v>
      </c>
      <c r="E424" s="1" t="s">
        <v>1159</v>
      </c>
      <c r="F424" s="1" t="s">
        <v>40</v>
      </c>
      <c r="G424" s="1" t="s">
        <v>23</v>
      </c>
      <c r="H424" s="1" t="s">
        <v>30</v>
      </c>
      <c r="I424" s="1">
        <v>0</v>
      </c>
      <c r="J424" s="12">
        <f t="shared" si="12"/>
        <v>45318</v>
      </c>
      <c r="K424" s="14">
        <f t="shared" si="13"/>
        <v>1</v>
      </c>
      <c r="L424" s="13"/>
      <c r="M424" s="13"/>
    </row>
    <row r="425" spans="1:13" x14ac:dyDescent="0.25">
      <c r="A425" s="1" t="s">
        <v>1154</v>
      </c>
      <c r="B425" s="1" t="s">
        <v>1533</v>
      </c>
      <c r="C425" s="1" t="s">
        <v>1534</v>
      </c>
      <c r="D425" s="1" t="s">
        <v>12</v>
      </c>
      <c r="E425" s="1" t="s">
        <v>1503</v>
      </c>
      <c r="F425" s="1" t="s">
        <v>29</v>
      </c>
      <c r="G425" s="1" t="s">
        <v>15</v>
      </c>
      <c r="H425" s="1" t="s">
        <v>16</v>
      </c>
      <c r="I425" s="1">
        <v>0</v>
      </c>
      <c r="J425" s="12">
        <f t="shared" si="12"/>
        <v>45295</v>
      </c>
      <c r="K425" s="14">
        <f t="shared" si="13"/>
        <v>1</v>
      </c>
      <c r="L425" s="13"/>
      <c r="M425" s="13"/>
    </row>
    <row r="426" spans="1:13" x14ac:dyDescent="0.25">
      <c r="A426" s="1" t="s">
        <v>1535</v>
      </c>
      <c r="B426" s="1" t="s">
        <v>1536</v>
      </c>
      <c r="C426" s="1" t="s">
        <v>1537</v>
      </c>
      <c r="D426" s="1" t="s">
        <v>45</v>
      </c>
      <c r="E426" s="1" t="s">
        <v>1538</v>
      </c>
      <c r="F426" s="1" t="s">
        <v>75</v>
      </c>
      <c r="G426" s="1" t="s">
        <v>15</v>
      </c>
      <c r="H426" s="1" t="s">
        <v>24</v>
      </c>
      <c r="I426" s="1">
        <v>2911</v>
      </c>
      <c r="J426" s="12">
        <f t="shared" si="12"/>
        <v>45317</v>
      </c>
      <c r="K426" s="14">
        <f t="shared" si="13"/>
        <v>1</v>
      </c>
      <c r="L426" s="13"/>
      <c r="M426" s="13"/>
    </row>
    <row r="427" spans="1:13" x14ac:dyDescent="0.25">
      <c r="A427" s="1" t="s">
        <v>1539</v>
      </c>
      <c r="B427" s="1" t="s">
        <v>1540</v>
      </c>
      <c r="C427" s="1" t="s">
        <v>1541</v>
      </c>
      <c r="D427" s="1" t="s">
        <v>20</v>
      </c>
      <c r="E427" s="1" t="s">
        <v>377</v>
      </c>
      <c r="F427" s="1" t="s">
        <v>22</v>
      </c>
      <c r="G427" s="1" t="s">
        <v>35</v>
      </c>
      <c r="H427" s="1" t="s">
        <v>30</v>
      </c>
      <c r="I427" s="1">
        <v>0</v>
      </c>
      <c r="J427" s="12">
        <f t="shared" si="12"/>
        <v>45308</v>
      </c>
      <c r="K427" s="14">
        <f t="shared" si="13"/>
        <v>1</v>
      </c>
      <c r="L427" s="13"/>
      <c r="M427" s="13"/>
    </row>
    <row r="428" spans="1:13" x14ac:dyDescent="0.25">
      <c r="A428" s="1" t="s">
        <v>1542</v>
      </c>
      <c r="B428" s="1" t="s">
        <v>1543</v>
      </c>
      <c r="C428" s="1" t="s">
        <v>1544</v>
      </c>
      <c r="D428" s="1" t="s">
        <v>12</v>
      </c>
      <c r="E428" s="1" t="s">
        <v>1545</v>
      </c>
      <c r="F428" s="1" t="s">
        <v>22</v>
      </c>
      <c r="G428" s="1" t="s">
        <v>15</v>
      </c>
      <c r="H428" s="1" t="s">
        <v>55</v>
      </c>
      <c r="I428" s="1">
        <v>0</v>
      </c>
      <c r="J428" s="12">
        <f t="shared" si="12"/>
        <v>45297</v>
      </c>
      <c r="K428" s="14">
        <f t="shared" si="13"/>
        <v>1</v>
      </c>
      <c r="L428" s="13"/>
      <c r="M428" s="13"/>
    </row>
    <row r="429" spans="1:13" x14ac:dyDescent="0.25">
      <c r="A429" s="1" t="s">
        <v>1546</v>
      </c>
      <c r="B429" s="1" t="s">
        <v>1547</v>
      </c>
      <c r="C429" s="1" t="s">
        <v>1548</v>
      </c>
      <c r="D429" s="1" t="s">
        <v>12</v>
      </c>
      <c r="E429" s="1" t="s">
        <v>1549</v>
      </c>
      <c r="F429" s="1" t="s">
        <v>22</v>
      </c>
      <c r="G429" s="1" t="s">
        <v>15</v>
      </c>
      <c r="H429" s="1" t="s">
        <v>30</v>
      </c>
      <c r="I429" s="1">
        <v>0</v>
      </c>
      <c r="J429" s="12">
        <f t="shared" si="12"/>
        <v>45313</v>
      </c>
      <c r="K429" s="14">
        <f t="shared" si="13"/>
        <v>1</v>
      </c>
      <c r="L429" s="13"/>
      <c r="M429" s="13"/>
    </row>
    <row r="430" spans="1:13" x14ac:dyDescent="0.25">
      <c r="A430" s="1" t="s">
        <v>285</v>
      </c>
      <c r="B430" s="1" t="s">
        <v>1550</v>
      </c>
      <c r="C430" s="1" t="s">
        <v>1551</v>
      </c>
      <c r="D430" s="1" t="s">
        <v>12</v>
      </c>
      <c r="E430" s="1" t="s">
        <v>889</v>
      </c>
      <c r="F430" s="1" t="s">
        <v>40</v>
      </c>
      <c r="G430" s="1" t="s">
        <v>35</v>
      </c>
      <c r="H430" s="1" t="s">
        <v>55</v>
      </c>
      <c r="I430" s="1">
        <v>0</v>
      </c>
      <c r="J430" s="12">
        <f t="shared" si="12"/>
        <v>45304</v>
      </c>
      <c r="K430" s="14">
        <f t="shared" si="13"/>
        <v>1</v>
      </c>
      <c r="L430" s="13"/>
      <c r="M430" s="13"/>
    </row>
    <row r="431" spans="1:13" x14ac:dyDescent="0.25">
      <c r="A431" s="1" t="s">
        <v>1552</v>
      </c>
      <c r="B431" s="1" t="s">
        <v>1553</v>
      </c>
      <c r="C431" s="1" t="s">
        <v>1554</v>
      </c>
      <c r="D431" s="1" t="s">
        <v>12</v>
      </c>
      <c r="E431" s="1" t="s">
        <v>775</v>
      </c>
      <c r="F431" s="1" t="s">
        <v>75</v>
      </c>
      <c r="G431" s="1" t="s">
        <v>35</v>
      </c>
      <c r="H431" s="1" t="s">
        <v>24</v>
      </c>
      <c r="I431" s="1">
        <v>0</v>
      </c>
      <c r="J431" s="12">
        <f t="shared" si="12"/>
        <v>45304</v>
      </c>
      <c r="K431" s="14">
        <f t="shared" si="13"/>
        <v>1</v>
      </c>
      <c r="L431" s="13"/>
      <c r="M431" s="13"/>
    </row>
    <row r="432" spans="1:13" x14ac:dyDescent="0.25">
      <c r="A432" s="1" t="s">
        <v>127</v>
      </c>
      <c r="B432" s="1" t="s">
        <v>1555</v>
      </c>
      <c r="C432" s="1" t="s">
        <v>1556</v>
      </c>
      <c r="D432" s="1" t="s">
        <v>20</v>
      </c>
      <c r="E432" s="1" t="s">
        <v>1557</v>
      </c>
      <c r="F432" s="1" t="s">
        <v>40</v>
      </c>
      <c r="G432" s="1" t="s">
        <v>15</v>
      </c>
      <c r="H432" s="1" t="s">
        <v>16</v>
      </c>
      <c r="I432" s="1">
        <v>0</v>
      </c>
      <c r="J432" s="12">
        <f t="shared" si="12"/>
        <v>45295</v>
      </c>
      <c r="K432" s="14">
        <f t="shared" si="13"/>
        <v>1</v>
      </c>
      <c r="L432" s="13"/>
      <c r="M432" s="13"/>
    </row>
    <row r="433" spans="1:13" x14ac:dyDescent="0.25">
      <c r="A433" s="1" t="s">
        <v>926</v>
      </c>
      <c r="B433" s="1" t="s">
        <v>1558</v>
      </c>
      <c r="C433" s="1" t="s">
        <v>1559</v>
      </c>
      <c r="D433" s="1" t="s">
        <v>12</v>
      </c>
      <c r="E433" s="1" t="s">
        <v>1560</v>
      </c>
      <c r="F433" s="1" t="s">
        <v>29</v>
      </c>
      <c r="G433" s="1" t="s">
        <v>15</v>
      </c>
      <c r="H433" s="1" t="s">
        <v>24</v>
      </c>
      <c r="I433" s="1">
        <v>0</v>
      </c>
      <c r="J433" s="12">
        <f t="shared" si="12"/>
        <v>45311</v>
      </c>
      <c r="K433" s="14">
        <f t="shared" si="13"/>
        <v>1</v>
      </c>
      <c r="L433" s="13"/>
      <c r="M433" s="13"/>
    </row>
    <row r="434" spans="1:13" x14ac:dyDescent="0.25">
      <c r="A434" s="1" t="s">
        <v>393</v>
      </c>
      <c r="B434" s="1" t="s">
        <v>1561</v>
      </c>
      <c r="C434" s="1" t="s">
        <v>1562</v>
      </c>
      <c r="D434" s="1" t="s">
        <v>20</v>
      </c>
      <c r="E434" s="1" t="s">
        <v>1563</v>
      </c>
      <c r="F434" s="1" t="s">
        <v>14</v>
      </c>
      <c r="G434" s="1" t="s">
        <v>15</v>
      </c>
      <c r="H434" s="1" t="s">
        <v>30</v>
      </c>
      <c r="I434" s="1">
        <v>0</v>
      </c>
      <c r="J434" s="12">
        <f t="shared" si="12"/>
        <v>45293</v>
      </c>
      <c r="K434" s="14">
        <f t="shared" si="13"/>
        <v>1</v>
      </c>
      <c r="L434" s="13"/>
      <c r="M434" s="13"/>
    </row>
    <row r="435" spans="1:13" x14ac:dyDescent="0.25">
      <c r="A435" s="1" t="s">
        <v>274</v>
      </c>
      <c r="B435" s="1" t="s">
        <v>1564</v>
      </c>
      <c r="C435" s="1" t="s">
        <v>1565</v>
      </c>
      <c r="D435" s="1" t="s">
        <v>20</v>
      </c>
      <c r="E435" s="1" t="s">
        <v>1566</v>
      </c>
      <c r="F435" s="1" t="s">
        <v>29</v>
      </c>
      <c r="G435" s="1" t="s">
        <v>15</v>
      </c>
      <c r="H435" s="1" t="s">
        <v>55</v>
      </c>
      <c r="I435" s="1">
        <v>0</v>
      </c>
      <c r="J435" s="12">
        <f t="shared" si="12"/>
        <v>45325</v>
      </c>
      <c r="K435" s="14">
        <f t="shared" si="13"/>
        <v>2</v>
      </c>
      <c r="L435" s="13"/>
      <c r="M435" s="13"/>
    </row>
    <row r="436" spans="1:13" x14ac:dyDescent="0.25">
      <c r="A436" s="1" t="s">
        <v>1567</v>
      </c>
      <c r="B436" s="1" t="s">
        <v>1568</v>
      </c>
      <c r="C436" s="1" t="s">
        <v>1569</v>
      </c>
      <c r="D436" s="1" t="s">
        <v>20</v>
      </c>
      <c r="E436" s="1" t="s">
        <v>1570</v>
      </c>
      <c r="F436" s="1" t="s">
        <v>14</v>
      </c>
      <c r="G436" s="1" t="s">
        <v>23</v>
      </c>
      <c r="H436" s="1" t="s">
        <v>16</v>
      </c>
      <c r="I436" s="1">
        <v>0</v>
      </c>
      <c r="J436" s="12">
        <f t="shared" si="12"/>
        <v>45299</v>
      </c>
      <c r="K436" s="14">
        <f t="shared" si="13"/>
        <v>1</v>
      </c>
      <c r="L436" s="13"/>
      <c r="M436" s="13"/>
    </row>
    <row r="437" spans="1:13" x14ac:dyDescent="0.25">
      <c r="A437" s="1" t="s">
        <v>838</v>
      </c>
      <c r="B437" s="1" t="s">
        <v>1571</v>
      </c>
      <c r="C437" s="1" t="s">
        <v>1572</v>
      </c>
      <c r="D437" s="1" t="s">
        <v>20</v>
      </c>
      <c r="E437" s="1" t="s">
        <v>1573</v>
      </c>
      <c r="F437" s="1" t="s">
        <v>75</v>
      </c>
      <c r="G437" s="1" t="s">
        <v>15</v>
      </c>
      <c r="H437" s="1" t="s">
        <v>41</v>
      </c>
      <c r="I437" s="1">
        <v>0</v>
      </c>
      <c r="J437" s="12">
        <f t="shared" si="12"/>
        <v>45294</v>
      </c>
      <c r="K437" s="14">
        <f t="shared" si="13"/>
        <v>1</v>
      </c>
      <c r="L437" s="13"/>
      <c r="M437" s="13"/>
    </row>
    <row r="438" spans="1:13" x14ac:dyDescent="0.25">
      <c r="A438" s="1" t="s">
        <v>1574</v>
      </c>
      <c r="B438" s="1" t="s">
        <v>1575</v>
      </c>
      <c r="C438" s="1" t="s">
        <v>1576</v>
      </c>
      <c r="D438" s="1" t="s">
        <v>20</v>
      </c>
      <c r="E438" s="1" t="s">
        <v>995</v>
      </c>
      <c r="F438" s="1" t="s">
        <v>14</v>
      </c>
      <c r="G438" s="1" t="s">
        <v>23</v>
      </c>
      <c r="H438" s="1" t="s">
        <v>30</v>
      </c>
      <c r="I438" s="1">
        <v>0</v>
      </c>
      <c r="J438" s="12">
        <f t="shared" si="12"/>
        <v>45323</v>
      </c>
      <c r="K438" s="14">
        <f t="shared" si="13"/>
        <v>2</v>
      </c>
      <c r="L438" s="13"/>
      <c r="M438" s="13"/>
    </row>
    <row r="439" spans="1:13" x14ac:dyDescent="0.25">
      <c r="A439" s="1" t="s">
        <v>1577</v>
      </c>
      <c r="B439" s="1" t="s">
        <v>1578</v>
      </c>
      <c r="C439" s="1" t="s">
        <v>1579</v>
      </c>
      <c r="D439" s="1" t="s">
        <v>45</v>
      </c>
      <c r="E439" s="1" t="s">
        <v>987</v>
      </c>
      <c r="F439" s="1" t="s">
        <v>14</v>
      </c>
      <c r="G439" s="1" t="s">
        <v>35</v>
      </c>
      <c r="H439" s="1" t="s">
        <v>16</v>
      </c>
      <c r="I439" s="1">
        <v>2611</v>
      </c>
      <c r="J439" s="12">
        <f t="shared" si="12"/>
        <v>45326</v>
      </c>
      <c r="K439" s="14">
        <f t="shared" si="13"/>
        <v>2</v>
      </c>
      <c r="L439" s="13"/>
      <c r="M439" s="13"/>
    </row>
    <row r="440" spans="1:13" x14ac:dyDescent="0.25">
      <c r="A440" s="1" t="s">
        <v>1301</v>
      </c>
      <c r="B440" s="1" t="s">
        <v>1580</v>
      </c>
      <c r="C440" s="1" t="s">
        <v>1581</v>
      </c>
      <c r="D440" s="1" t="s">
        <v>12</v>
      </c>
      <c r="E440" s="1" t="s">
        <v>1582</v>
      </c>
      <c r="F440" s="1" t="s">
        <v>14</v>
      </c>
      <c r="G440" s="1" t="s">
        <v>15</v>
      </c>
      <c r="H440" s="1" t="s">
        <v>24</v>
      </c>
      <c r="I440" s="1">
        <v>0</v>
      </c>
      <c r="J440" s="12">
        <f t="shared" si="12"/>
        <v>45304</v>
      </c>
      <c r="K440" s="14">
        <f t="shared" si="13"/>
        <v>1</v>
      </c>
      <c r="L440" s="13"/>
      <c r="M440" s="13"/>
    </row>
    <row r="441" spans="1:13" x14ac:dyDescent="0.25">
      <c r="A441" s="1" t="s">
        <v>1583</v>
      </c>
      <c r="B441" s="1" t="s">
        <v>1584</v>
      </c>
      <c r="C441" s="1" t="s">
        <v>1585</v>
      </c>
      <c r="D441" s="1" t="s">
        <v>12</v>
      </c>
      <c r="E441" s="1" t="s">
        <v>669</v>
      </c>
      <c r="F441" s="1" t="s">
        <v>14</v>
      </c>
      <c r="G441" s="1" t="s">
        <v>35</v>
      </c>
      <c r="H441" s="1" t="s">
        <v>24</v>
      </c>
      <c r="I441" s="1">
        <v>0</v>
      </c>
      <c r="J441" s="12">
        <f t="shared" si="12"/>
        <v>45320</v>
      </c>
      <c r="K441" s="14">
        <f t="shared" si="13"/>
        <v>1</v>
      </c>
      <c r="L441" s="13"/>
      <c r="M441" s="13"/>
    </row>
    <row r="442" spans="1:13" x14ac:dyDescent="0.25">
      <c r="A442" s="1" t="s">
        <v>517</v>
      </c>
      <c r="B442" s="1" t="s">
        <v>1586</v>
      </c>
      <c r="C442" s="1" t="s">
        <v>1587</v>
      </c>
      <c r="D442" s="1" t="s">
        <v>45</v>
      </c>
      <c r="E442" s="1" t="s">
        <v>1588</v>
      </c>
      <c r="F442" s="1" t="s">
        <v>22</v>
      </c>
      <c r="G442" s="1" t="s">
        <v>15</v>
      </c>
      <c r="H442" s="1" t="s">
        <v>55</v>
      </c>
      <c r="I442" s="1">
        <v>1996</v>
      </c>
      <c r="J442" s="12">
        <f t="shared" si="12"/>
        <v>45318</v>
      </c>
      <c r="K442" s="14">
        <f t="shared" si="13"/>
        <v>1</v>
      </c>
      <c r="L442" s="13"/>
      <c r="M442" s="13"/>
    </row>
    <row r="443" spans="1:13" x14ac:dyDescent="0.25">
      <c r="A443" s="1" t="s">
        <v>408</v>
      </c>
      <c r="B443" s="1" t="s">
        <v>1589</v>
      </c>
      <c r="C443" s="1" t="s">
        <v>1590</v>
      </c>
      <c r="D443" s="1" t="s">
        <v>45</v>
      </c>
      <c r="E443" s="1" t="s">
        <v>1591</v>
      </c>
      <c r="F443" s="1" t="s">
        <v>40</v>
      </c>
      <c r="G443" s="1" t="s">
        <v>23</v>
      </c>
      <c r="H443" s="1" t="s">
        <v>55</v>
      </c>
      <c r="I443" s="1">
        <v>2110</v>
      </c>
      <c r="J443" s="12">
        <f t="shared" si="12"/>
        <v>45300</v>
      </c>
      <c r="K443" s="14">
        <f t="shared" si="13"/>
        <v>1</v>
      </c>
      <c r="L443" s="13"/>
      <c r="M443" s="13"/>
    </row>
    <row r="444" spans="1:13" x14ac:dyDescent="0.25">
      <c r="A444" s="1" t="s">
        <v>1592</v>
      </c>
      <c r="B444" s="1" t="s">
        <v>1593</v>
      </c>
      <c r="C444" s="1" t="s">
        <v>1594</v>
      </c>
      <c r="D444" s="1" t="s">
        <v>20</v>
      </c>
      <c r="E444" s="1" t="s">
        <v>1595</v>
      </c>
      <c r="F444" s="1" t="s">
        <v>40</v>
      </c>
      <c r="G444" s="1" t="s">
        <v>23</v>
      </c>
      <c r="H444" s="1" t="s">
        <v>30</v>
      </c>
      <c r="I444" s="1">
        <v>0</v>
      </c>
      <c r="J444" s="12">
        <f t="shared" si="12"/>
        <v>45316</v>
      </c>
      <c r="K444" s="14">
        <f t="shared" si="13"/>
        <v>1</v>
      </c>
      <c r="L444" s="13"/>
      <c r="M444" s="13"/>
    </row>
    <row r="445" spans="1:13" x14ac:dyDescent="0.25">
      <c r="A445" s="1" t="s">
        <v>1129</v>
      </c>
      <c r="B445" s="1" t="s">
        <v>1260</v>
      </c>
      <c r="C445" s="1" t="s">
        <v>1596</v>
      </c>
      <c r="D445" s="1" t="s">
        <v>20</v>
      </c>
      <c r="E445" s="1" t="s">
        <v>1457</v>
      </c>
      <c r="F445" s="1" t="s">
        <v>22</v>
      </c>
      <c r="G445" s="1" t="s">
        <v>15</v>
      </c>
      <c r="H445" s="1" t="s">
        <v>16</v>
      </c>
      <c r="I445" s="1">
        <v>0</v>
      </c>
      <c r="J445" s="12">
        <f t="shared" si="12"/>
        <v>45316</v>
      </c>
      <c r="K445" s="14">
        <f t="shared" si="13"/>
        <v>1</v>
      </c>
      <c r="L445" s="13"/>
      <c r="M445" s="13"/>
    </row>
    <row r="446" spans="1:13" x14ac:dyDescent="0.25">
      <c r="A446" s="1" t="s">
        <v>1597</v>
      </c>
      <c r="B446" s="1" t="s">
        <v>1598</v>
      </c>
      <c r="C446" s="1" t="s">
        <v>1599</v>
      </c>
      <c r="D446" s="1" t="s">
        <v>20</v>
      </c>
      <c r="E446" s="1" t="s">
        <v>1600</v>
      </c>
      <c r="F446" s="1" t="s">
        <v>40</v>
      </c>
      <c r="G446" s="1" t="s">
        <v>23</v>
      </c>
      <c r="H446" s="1" t="s">
        <v>41</v>
      </c>
      <c r="I446" s="1">
        <v>0</v>
      </c>
      <c r="J446" s="12">
        <f t="shared" si="12"/>
        <v>45300</v>
      </c>
      <c r="K446" s="14">
        <f t="shared" si="13"/>
        <v>1</v>
      </c>
      <c r="L446" s="13"/>
      <c r="M446" s="13"/>
    </row>
    <row r="447" spans="1:13" x14ac:dyDescent="0.25">
      <c r="A447" s="1" t="s">
        <v>535</v>
      </c>
      <c r="B447" s="1" t="s">
        <v>1601</v>
      </c>
      <c r="C447" s="1" t="s">
        <v>1602</v>
      </c>
      <c r="D447" s="1" t="s">
        <v>20</v>
      </c>
      <c r="E447" s="1" t="s">
        <v>1603</v>
      </c>
      <c r="F447" s="1" t="s">
        <v>75</v>
      </c>
      <c r="G447" s="1" t="s">
        <v>23</v>
      </c>
      <c r="H447" s="1" t="s">
        <v>16</v>
      </c>
      <c r="I447" s="1">
        <v>0</v>
      </c>
      <c r="J447" s="12">
        <f t="shared" si="12"/>
        <v>45301</v>
      </c>
      <c r="K447" s="14">
        <f t="shared" si="13"/>
        <v>1</v>
      </c>
      <c r="L447" s="13"/>
      <c r="M447" s="13"/>
    </row>
    <row r="448" spans="1:13" x14ac:dyDescent="0.25">
      <c r="A448" s="1" t="s">
        <v>719</v>
      </c>
      <c r="B448" s="1" t="s">
        <v>1604</v>
      </c>
      <c r="C448" s="1" t="s">
        <v>1605</v>
      </c>
      <c r="D448" s="1" t="s">
        <v>12</v>
      </c>
      <c r="E448" s="1" t="s">
        <v>1606</v>
      </c>
      <c r="F448" s="1" t="s">
        <v>29</v>
      </c>
      <c r="G448" s="1" t="s">
        <v>35</v>
      </c>
      <c r="H448" s="1" t="s">
        <v>41</v>
      </c>
      <c r="I448" s="1">
        <v>0</v>
      </c>
      <c r="J448" s="12">
        <f t="shared" si="12"/>
        <v>45314</v>
      </c>
      <c r="K448" s="14">
        <f t="shared" si="13"/>
        <v>1</v>
      </c>
      <c r="L448" s="13"/>
      <c r="M448" s="13"/>
    </row>
    <row r="449" spans="1:13" x14ac:dyDescent="0.25">
      <c r="A449" s="1" t="s">
        <v>444</v>
      </c>
      <c r="B449" s="1" t="s">
        <v>1607</v>
      </c>
      <c r="C449" s="1" t="s">
        <v>1608</v>
      </c>
      <c r="D449" s="1" t="s">
        <v>12</v>
      </c>
      <c r="E449" s="1" t="s">
        <v>1609</v>
      </c>
      <c r="F449" s="1" t="s">
        <v>75</v>
      </c>
      <c r="G449" s="1" t="s">
        <v>15</v>
      </c>
      <c r="H449" s="1" t="s">
        <v>24</v>
      </c>
      <c r="I449" s="1">
        <v>0</v>
      </c>
      <c r="J449" s="12">
        <f t="shared" si="12"/>
        <v>45321</v>
      </c>
      <c r="K449" s="14">
        <f t="shared" si="13"/>
        <v>1</v>
      </c>
      <c r="L449" s="13"/>
      <c r="M449" s="13"/>
    </row>
    <row r="450" spans="1:13" x14ac:dyDescent="0.25">
      <c r="A450" s="1" t="s">
        <v>1470</v>
      </c>
      <c r="B450" s="1" t="s">
        <v>1610</v>
      </c>
      <c r="C450" s="1" t="s">
        <v>1611</v>
      </c>
      <c r="D450" s="1" t="s">
        <v>20</v>
      </c>
      <c r="E450" s="1" t="s">
        <v>1019</v>
      </c>
      <c r="F450" s="1" t="s">
        <v>75</v>
      </c>
      <c r="G450" s="1" t="s">
        <v>15</v>
      </c>
      <c r="H450" s="1" t="s">
        <v>16</v>
      </c>
      <c r="I450" s="1">
        <v>0</v>
      </c>
      <c r="J450" s="12">
        <f t="shared" si="12"/>
        <v>45298</v>
      </c>
      <c r="K450" s="14">
        <f t="shared" si="13"/>
        <v>1</v>
      </c>
      <c r="L450" s="13"/>
      <c r="M450" s="13"/>
    </row>
    <row r="451" spans="1:13" x14ac:dyDescent="0.25">
      <c r="A451" s="1" t="s">
        <v>1116</v>
      </c>
      <c r="B451" s="1" t="s">
        <v>1612</v>
      </c>
      <c r="C451" s="1" t="s">
        <v>1613</v>
      </c>
      <c r="D451" s="1" t="s">
        <v>45</v>
      </c>
      <c r="E451" s="1" t="s">
        <v>1364</v>
      </c>
      <c r="F451" s="1" t="s">
        <v>14</v>
      </c>
      <c r="G451" s="1" t="s">
        <v>35</v>
      </c>
      <c r="H451" s="1" t="s">
        <v>24</v>
      </c>
      <c r="I451" s="1">
        <v>4100</v>
      </c>
      <c r="J451" s="12">
        <f t="shared" si="12"/>
        <v>45324</v>
      </c>
      <c r="K451" s="14">
        <f t="shared" si="13"/>
        <v>2</v>
      </c>
      <c r="L451" s="13"/>
      <c r="M451" s="13"/>
    </row>
    <row r="452" spans="1:13" x14ac:dyDescent="0.25">
      <c r="A452" s="1" t="s">
        <v>252</v>
      </c>
      <c r="B452" s="1" t="s">
        <v>1614</v>
      </c>
      <c r="C452" s="1" t="s">
        <v>1615</v>
      </c>
      <c r="D452" s="1" t="s">
        <v>45</v>
      </c>
      <c r="E452" s="1" t="s">
        <v>1616</v>
      </c>
      <c r="F452" s="1" t="s">
        <v>40</v>
      </c>
      <c r="G452" s="1" t="s">
        <v>35</v>
      </c>
      <c r="H452" s="1" t="s">
        <v>30</v>
      </c>
      <c r="I452" s="1">
        <v>1857</v>
      </c>
      <c r="J452" s="12">
        <f t="shared" ref="J452:J515" si="14">INT(C452)</f>
        <v>45319</v>
      </c>
      <c r="K452" s="14">
        <f t="shared" ref="K452:K515" si="15">MONTH(C452)</f>
        <v>1</v>
      </c>
      <c r="L452" s="13"/>
      <c r="M452" s="13"/>
    </row>
    <row r="453" spans="1:13" x14ac:dyDescent="0.25">
      <c r="A453" s="1" t="s">
        <v>1617</v>
      </c>
      <c r="B453" s="1" t="s">
        <v>1618</v>
      </c>
      <c r="C453" s="1" t="s">
        <v>1619</v>
      </c>
      <c r="D453" s="1" t="s">
        <v>20</v>
      </c>
      <c r="E453" s="1" t="s">
        <v>1620</v>
      </c>
      <c r="F453" s="1" t="s">
        <v>29</v>
      </c>
      <c r="G453" s="1" t="s">
        <v>35</v>
      </c>
      <c r="H453" s="1" t="s">
        <v>55</v>
      </c>
      <c r="I453" s="1">
        <v>0</v>
      </c>
      <c r="J453" s="12">
        <f t="shared" si="14"/>
        <v>45321</v>
      </c>
      <c r="K453" s="14">
        <f t="shared" si="15"/>
        <v>1</v>
      </c>
      <c r="L453" s="13"/>
      <c r="M453" s="13"/>
    </row>
    <row r="454" spans="1:13" x14ac:dyDescent="0.25">
      <c r="A454" s="1" t="s">
        <v>1621</v>
      </c>
      <c r="B454" s="1" t="s">
        <v>1622</v>
      </c>
      <c r="C454" s="1" t="s">
        <v>1623</v>
      </c>
      <c r="D454" s="1" t="s">
        <v>12</v>
      </c>
      <c r="E454" s="1" t="s">
        <v>1624</v>
      </c>
      <c r="F454" s="1" t="s">
        <v>40</v>
      </c>
      <c r="G454" s="1" t="s">
        <v>23</v>
      </c>
      <c r="H454" s="1" t="s">
        <v>24</v>
      </c>
      <c r="I454" s="1">
        <v>0</v>
      </c>
      <c r="J454" s="12">
        <f t="shared" si="14"/>
        <v>45309</v>
      </c>
      <c r="K454" s="14">
        <f t="shared" si="15"/>
        <v>1</v>
      </c>
      <c r="L454" s="13"/>
      <c r="M454" s="13"/>
    </row>
    <row r="455" spans="1:13" x14ac:dyDescent="0.25">
      <c r="A455" s="1" t="s">
        <v>1625</v>
      </c>
      <c r="B455" s="1" t="s">
        <v>1626</v>
      </c>
      <c r="C455" s="1" t="s">
        <v>1627</v>
      </c>
      <c r="D455" s="1" t="s">
        <v>12</v>
      </c>
      <c r="E455" s="1" t="s">
        <v>714</v>
      </c>
      <c r="F455" s="1" t="s">
        <v>14</v>
      </c>
      <c r="G455" s="1" t="s">
        <v>23</v>
      </c>
      <c r="H455" s="1" t="s">
        <v>16</v>
      </c>
      <c r="I455" s="1">
        <v>0</v>
      </c>
      <c r="J455" s="12">
        <f t="shared" si="14"/>
        <v>45312</v>
      </c>
      <c r="K455" s="14">
        <f t="shared" si="15"/>
        <v>1</v>
      </c>
      <c r="L455" s="13"/>
      <c r="M455" s="13"/>
    </row>
    <row r="456" spans="1:13" x14ac:dyDescent="0.25">
      <c r="A456" s="1" t="s">
        <v>1628</v>
      </c>
      <c r="B456" s="1" t="s">
        <v>1629</v>
      </c>
      <c r="C456" s="1" t="s">
        <v>1630</v>
      </c>
      <c r="D456" s="1" t="s">
        <v>12</v>
      </c>
      <c r="E456" s="1" t="s">
        <v>865</v>
      </c>
      <c r="F456" s="1" t="s">
        <v>75</v>
      </c>
      <c r="G456" s="1" t="s">
        <v>35</v>
      </c>
      <c r="H456" s="1" t="s">
        <v>16</v>
      </c>
      <c r="I456" s="1">
        <v>0</v>
      </c>
      <c r="J456" s="12">
        <f t="shared" si="14"/>
        <v>45294</v>
      </c>
      <c r="K456" s="14">
        <f t="shared" si="15"/>
        <v>1</v>
      </c>
      <c r="L456" s="13"/>
      <c r="M456" s="13"/>
    </row>
    <row r="457" spans="1:13" x14ac:dyDescent="0.25">
      <c r="A457" s="1" t="s">
        <v>705</v>
      </c>
      <c r="B457" s="1" t="s">
        <v>1631</v>
      </c>
      <c r="C457" s="1" t="s">
        <v>1632</v>
      </c>
      <c r="D457" s="1" t="s">
        <v>20</v>
      </c>
      <c r="E457" s="1" t="s">
        <v>1633</v>
      </c>
      <c r="F457" s="1" t="s">
        <v>22</v>
      </c>
      <c r="G457" s="1" t="s">
        <v>23</v>
      </c>
      <c r="H457" s="1" t="s">
        <v>55</v>
      </c>
      <c r="I457" s="1">
        <v>0</v>
      </c>
      <c r="J457" s="12">
        <f t="shared" si="14"/>
        <v>45307</v>
      </c>
      <c r="K457" s="14">
        <f t="shared" si="15"/>
        <v>1</v>
      </c>
      <c r="L457" s="13"/>
      <c r="M457" s="13"/>
    </row>
    <row r="458" spans="1:13" x14ac:dyDescent="0.25">
      <c r="A458" s="1" t="s">
        <v>163</v>
      </c>
      <c r="B458" s="1" t="s">
        <v>1634</v>
      </c>
      <c r="C458" s="1" t="s">
        <v>1635</v>
      </c>
      <c r="D458" s="1" t="s">
        <v>12</v>
      </c>
      <c r="E458" s="1" t="s">
        <v>350</v>
      </c>
      <c r="F458" s="1" t="s">
        <v>22</v>
      </c>
      <c r="G458" s="1" t="s">
        <v>23</v>
      </c>
      <c r="H458" s="1" t="s">
        <v>16</v>
      </c>
      <c r="I458" s="1">
        <v>0</v>
      </c>
      <c r="J458" s="12">
        <f t="shared" si="14"/>
        <v>45292</v>
      </c>
      <c r="K458" s="14">
        <f t="shared" si="15"/>
        <v>1</v>
      </c>
      <c r="L458" s="13"/>
      <c r="M458" s="13"/>
    </row>
    <row r="459" spans="1:13" x14ac:dyDescent="0.25">
      <c r="A459" s="1" t="s">
        <v>1636</v>
      </c>
      <c r="B459" s="1" t="s">
        <v>1637</v>
      </c>
      <c r="C459" s="1" t="s">
        <v>1638</v>
      </c>
      <c r="D459" s="1" t="s">
        <v>12</v>
      </c>
      <c r="E459" s="1" t="s">
        <v>1639</v>
      </c>
      <c r="F459" s="1" t="s">
        <v>14</v>
      </c>
      <c r="G459" s="1" t="s">
        <v>35</v>
      </c>
      <c r="H459" s="1" t="s">
        <v>30</v>
      </c>
      <c r="I459" s="1">
        <v>0</v>
      </c>
      <c r="J459" s="12">
        <f t="shared" si="14"/>
        <v>45294</v>
      </c>
      <c r="K459" s="14">
        <f t="shared" si="15"/>
        <v>1</v>
      </c>
      <c r="L459" s="13"/>
      <c r="M459" s="13"/>
    </row>
    <row r="460" spans="1:13" x14ac:dyDescent="0.25">
      <c r="A460" s="1" t="s">
        <v>1640</v>
      </c>
      <c r="B460" s="1" t="s">
        <v>1641</v>
      </c>
      <c r="C460" s="1" t="s">
        <v>1642</v>
      </c>
      <c r="D460" s="1" t="s">
        <v>12</v>
      </c>
      <c r="E460" s="1" t="s">
        <v>330</v>
      </c>
      <c r="F460" s="1" t="s">
        <v>14</v>
      </c>
      <c r="G460" s="1" t="s">
        <v>15</v>
      </c>
      <c r="H460" s="1" t="s">
        <v>16</v>
      </c>
      <c r="I460" s="1">
        <v>0</v>
      </c>
      <c r="J460" s="12">
        <f t="shared" si="14"/>
        <v>45317</v>
      </c>
      <c r="K460" s="14">
        <f t="shared" si="15"/>
        <v>1</v>
      </c>
      <c r="L460" s="13"/>
      <c r="M460" s="13"/>
    </row>
    <row r="461" spans="1:13" x14ac:dyDescent="0.25">
      <c r="A461" s="1" t="s">
        <v>1530</v>
      </c>
      <c r="B461" s="1" t="s">
        <v>1643</v>
      </c>
      <c r="C461" s="1" t="s">
        <v>1644</v>
      </c>
      <c r="D461" s="1" t="s">
        <v>20</v>
      </c>
      <c r="E461" s="1" t="s">
        <v>1645</v>
      </c>
      <c r="F461" s="1" t="s">
        <v>40</v>
      </c>
      <c r="G461" s="1" t="s">
        <v>35</v>
      </c>
      <c r="H461" s="1" t="s">
        <v>24</v>
      </c>
      <c r="I461" s="1">
        <v>0</v>
      </c>
      <c r="J461" s="12">
        <f t="shared" si="14"/>
        <v>45312</v>
      </c>
      <c r="K461" s="14">
        <f t="shared" si="15"/>
        <v>1</v>
      </c>
      <c r="L461" s="13"/>
      <c r="M461" s="13"/>
    </row>
    <row r="462" spans="1:13" x14ac:dyDescent="0.25">
      <c r="A462" s="1" t="s">
        <v>1646</v>
      </c>
      <c r="B462" s="1" t="s">
        <v>1647</v>
      </c>
      <c r="C462" s="1" t="s">
        <v>1648</v>
      </c>
      <c r="D462" s="1" t="s">
        <v>20</v>
      </c>
      <c r="E462" s="1" t="s">
        <v>1184</v>
      </c>
      <c r="F462" s="1" t="s">
        <v>40</v>
      </c>
      <c r="G462" s="1" t="s">
        <v>23</v>
      </c>
      <c r="H462" s="1" t="s">
        <v>16</v>
      </c>
      <c r="I462" s="1">
        <v>0</v>
      </c>
      <c r="J462" s="12">
        <f t="shared" si="14"/>
        <v>45313</v>
      </c>
      <c r="K462" s="14">
        <f t="shared" si="15"/>
        <v>1</v>
      </c>
      <c r="L462" s="13"/>
      <c r="M462" s="13"/>
    </row>
    <row r="463" spans="1:13" x14ac:dyDescent="0.25">
      <c r="A463" s="1" t="s">
        <v>143</v>
      </c>
      <c r="B463" s="1" t="s">
        <v>1649</v>
      </c>
      <c r="C463" s="1" t="s">
        <v>1650</v>
      </c>
      <c r="D463" s="1" t="s">
        <v>12</v>
      </c>
      <c r="E463" s="1" t="s">
        <v>1368</v>
      </c>
      <c r="F463" s="1" t="s">
        <v>14</v>
      </c>
      <c r="G463" s="1" t="s">
        <v>23</v>
      </c>
      <c r="H463" s="1" t="s">
        <v>41</v>
      </c>
      <c r="I463" s="1">
        <v>0</v>
      </c>
      <c r="J463" s="12">
        <f t="shared" si="14"/>
        <v>45305</v>
      </c>
      <c r="K463" s="14">
        <f t="shared" si="15"/>
        <v>1</v>
      </c>
      <c r="L463" s="13"/>
      <c r="M463" s="13"/>
    </row>
    <row r="464" spans="1:13" x14ac:dyDescent="0.25">
      <c r="A464" s="1" t="s">
        <v>892</v>
      </c>
      <c r="B464" s="1" t="s">
        <v>1651</v>
      </c>
      <c r="C464" s="1" t="s">
        <v>1652</v>
      </c>
      <c r="D464" s="1" t="s">
        <v>45</v>
      </c>
      <c r="E464" s="1" t="s">
        <v>259</v>
      </c>
      <c r="F464" s="1" t="s">
        <v>29</v>
      </c>
      <c r="G464" s="1" t="s">
        <v>15</v>
      </c>
      <c r="H464" s="1" t="s">
        <v>16</v>
      </c>
      <c r="I464" s="1">
        <v>655</v>
      </c>
      <c r="J464" s="12">
        <f t="shared" si="14"/>
        <v>45294</v>
      </c>
      <c r="K464" s="14">
        <f t="shared" si="15"/>
        <v>1</v>
      </c>
      <c r="L464" s="13"/>
      <c r="M464" s="13"/>
    </row>
    <row r="465" spans="1:13" x14ac:dyDescent="0.25">
      <c r="A465" s="1" t="s">
        <v>274</v>
      </c>
      <c r="B465" s="1" t="s">
        <v>1653</v>
      </c>
      <c r="C465" s="1" t="s">
        <v>1654</v>
      </c>
      <c r="D465" s="1" t="s">
        <v>45</v>
      </c>
      <c r="E465" s="1" t="s">
        <v>1655</v>
      </c>
      <c r="F465" s="1" t="s">
        <v>75</v>
      </c>
      <c r="G465" s="1" t="s">
        <v>23</v>
      </c>
      <c r="H465" s="1" t="s">
        <v>30</v>
      </c>
      <c r="I465" s="1">
        <v>1648</v>
      </c>
      <c r="J465" s="12">
        <f t="shared" si="14"/>
        <v>45303</v>
      </c>
      <c r="K465" s="14">
        <f t="shared" si="15"/>
        <v>1</v>
      </c>
      <c r="L465" s="13"/>
      <c r="M465" s="13"/>
    </row>
    <row r="466" spans="1:13" x14ac:dyDescent="0.25">
      <c r="A466" s="1" t="s">
        <v>1005</v>
      </c>
      <c r="B466" s="1" t="s">
        <v>1656</v>
      </c>
      <c r="C466" s="1" t="s">
        <v>1657</v>
      </c>
      <c r="D466" s="1" t="s">
        <v>45</v>
      </c>
      <c r="E466" s="1" t="s">
        <v>1658</v>
      </c>
      <c r="F466" s="1" t="s">
        <v>14</v>
      </c>
      <c r="G466" s="1" t="s">
        <v>23</v>
      </c>
      <c r="H466" s="1" t="s">
        <v>55</v>
      </c>
      <c r="I466" s="1">
        <v>2997</v>
      </c>
      <c r="J466" s="12">
        <f t="shared" si="14"/>
        <v>45311</v>
      </c>
      <c r="K466" s="14">
        <f t="shared" si="15"/>
        <v>1</v>
      </c>
      <c r="L466" s="13"/>
      <c r="M466" s="13"/>
    </row>
    <row r="467" spans="1:13" x14ac:dyDescent="0.25">
      <c r="A467" s="1" t="s">
        <v>155</v>
      </c>
      <c r="B467" s="1" t="s">
        <v>1659</v>
      </c>
      <c r="C467" s="1" t="s">
        <v>1660</v>
      </c>
      <c r="D467" s="1" t="s">
        <v>12</v>
      </c>
      <c r="E467" s="1" t="s">
        <v>1661</v>
      </c>
      <c r="F467" s="1" t="s">
        <v>14</v>
      </c>
      <c r="G467" s="1" t="s">
        <v>23</v>
      </c>
      <c r="H467" s="1" t="s">
        <v>16</v>
      </c>
      <c r="I467" s="1">
        <v>0</v>
      </c>
      <c r="J467" s="12">
        <f t="shared" si="14"/>
        <v>45309</v>
      </c>
      <c r="K467" s="14">
        <f t="shared" si="15"/>
        <v>1</v>
      </c>
      <c r="L467" s="13"/>
      <c r="M467" s="13"/>
    </row>
    <row r="468" spans="1:13" x14ac:dyDescent="0.25">
      <c r="A468" s="1" t="s">
        <v>1662</v>
      </c>
      <c r="B468" s="1" t="s">
        <v>1663</v>
      </c>
      <c r="C468" s="1" t="s">
        <v>1664</v>
      </c>
      <c r="D468" s="1" t="s">
        <v>20</v>
      </c>
      <c r="E468" s="1" t="s">
        <v>1620</v>
      </c>
      <c r="F468" s="1" t="s">
        <v>75</v>
      </c>
      <c r="G468" s="1" t="s">
        <v>23</v>
      </c>
      <c r="H468" s="1" t="s">
        <v>30</v>
      </c>
      <c r="I468" s="1">
        <v>0</v>
      </c>
      <c r="J468" s="12">
        <f t="shared" si="14"/>
        <v>45317</v>
      </c>
      <c r="K468" s="14">
        <f t="shared" si="15"/>
        <v>1</v>
      </c>
      <c r="L468" s="13"/>
      <c r="M468" s="13"/>
    </row>
    <row r="469" spans="1:13" x14ac:dyDescent="0.25">
      <c r="A469" s="1" t="s">
        <v>938</v>
      </c>
      <c r="B469" s="1" t="s">
        <v>1665</v>
      </c>
      <c r="C469" s="1" t="s">
        <v>1666</v>
      </c>
      <c r="D469" s="1" t="s">
        <v>45</v>
      </c>
      <c r="E469" s="1" t="s">
        <v>1667</v>
      </c>
      <c r="F469" s="1" t="s">
        <v>29</v>
      </c>
      <c r="G469" s="1" t="s">
        <v>35</v>
      </c>
      <c r="H469" s="1" t="s">
        <v>41</v>
      </c>
      <c r="I469" s="1">
        <v>836</v>
      </c>
      <c r="J469" s="12">
        <f t="shared" si="14"/>
        <v>45314</v>
      </c>
      <c r="K469" s="14">
        <f t="shared" si="15"/>
        <v>1</v>
      </c>
      <c r="L469" s="13"/>
      <c r="M469" s="13"/>
    </row>
    <row r="470" spans="1:13" x14ac:dyDescent="0.25">
      <c r="A470" s="1" t="s">
        <v>1001</v>
      </c>
      <c r="B470" s="1" t="s">
        <v>1668</v>
      </c>
      <c r="C470" s="1" t="s">
        <v>1669</v>
      </c>
      <c r="D470" s="1" t="s">
        <v>12</v>
      </c>
      <c r="E470" s="1" t="s">
        <v>1670</v>
      </c>
      <c r="F470" s="1" t="s">
        <v>22</v>
      </c>
      <c r="G470" s="1" t="s">
        <v>23</v>
      </c>
      <c r="H470" s="1" t="s">
        <v>41</v>
      </c>
      <c r="I470" s="1">
        <v>0</v>
      </c>
      <c r="J470" s="12">
        <f t="shared" si="14"/>
        <v>45308</v>
      </c>
      <c r="K470" s="14">
        <f t="shared" si="15"/>
        <v>1</v>
      </c>
      <c r="L470" s="13"/>
      <c r="M470" s="13"/>
    </row>
    <row r="471" spans="1:13" x14ac:dyDescent="0.25">
      <c r="A471" s="1" t="s">
        <v>433</v>
      </c>
      <c r="B471" s="1" t="s">
        <v>1671</v>
      </c>
      <c r="C471" s="1" t="s">
        <v>1672</v>
      </c>
      <c r="D471" s="1" t="s">
        <v>20</v>
      </c>
      <c r="E471" s="1" t="s">
        <v>1673</v>
      </c>
      <c r="F471" s="1" t="s">
        <v>14</v>
      </c>
      <c r="G471" s="1" t="s">
        <v>35</v>
      </c>
      <c r="H471" s="1" t="s">
        <v>24</v>
      </c>
      <c r="I471" s="1">
        <v>0</v>
      </c>
      <c r="J471" s="12">
        <f t="shared" si="14"/>
        <v>45321</v>
      </c>
      <c r="K471" s="14">
        <f t="shared" si="15"/>
        <v>1</v>
      </c>
      <c r="L471" s="13"/>
      <c r="M471" s="13"/>
    </row>
    <row r="472" spans="1:13" x14ac:dyDescent="0.25">
      <c r="A472" s="1" t="s">
        <v>1674</v>
      </c>
      <c r="B472" s="1" t="s">
        <v>1675</v>
      </c>
      <c r="C472" s="1" t="s">
        <v>1676</v>
      </c>
      <c r="D472" s="1" t="s">
        <v>12</v>
      </c>
      <c r="E472" s="1" t="s">
        <v>1677</v>
      </c>
      <c r="F472" s="1" t="s">
        <v>40</v>
      </c>
      <c r="G472" s="1" t="s">
        <v>23</v>
      </c>
      <c r="H472" s="1" t="s">
        <v>41</v>
      </c>
      <c r="I472" s="1">
        <v>0</v>
      </c>
      <c r="J472" s="12">
        <f t="shared" si="14"/>
        <v>45318</v>
      </c>
      <c r="K472" s="14">
        <f t="shared" si="15"/>
        <v>1</v>
      </c>
      <c r="L472" s="13"/>
      <c r="M472" s="13"/>
    </row>
    <row r="473" spans="1:13" x14ac:dyDescent="0.25">
      <c r="A473" s="1" t="s">
        <v>1567</v>
      </c>
      <c r="B473" s="1" t="s">
        <v>1678</v>
      </c>
      <c r="C473" s="1" t="s">
        <v>1679</v>
      </c>
      <c r="D473" s="1" t="s">
        <v>12</v>
      </c>
      <c r="E473" s="1" t="s">
        <v>1680</v>
      </c>
      <c r="F473" s="1" t="s">
        <v>29</v>
      </c>
      <c r="G473" s="1" t="s">
        <v>15</v>
      </c>
      <c r="H473" s="1" t="s">
        <v>16</v>
      </c>
      <c r="I473" s="1">
        <v>0</v>
      </c>
      <c r="J473" s="12">
        <f t="shared" si="14"/>
        <v>45321</v>
      </c>
      <c r="K473" s="14">
        <f t="shared" si="15"/>
        <v>1</v>
      </c>
      <c r="L473" s="13"/>
      <c r="M473" s="13"/>
    </row>
    <row r="474" spans="1:13" x14ac:dyDescent="0.25">
      <c r="A474" s="1" t="s">
        <v>1681</v>
      </c>
      <c r="B474" s="1" t="s">
        <v>1682</v>
      </c>
      <c r="C474" s="1" t="s">
        <v>1683</v>
      </c>
      <c r="D474" s="1" t="s">
        <v>45</v>
      </c>
      <c r="E474" s="1" t="s">
        <v>1684</v>
      </c>
      <c r="F474" s="1" t="s">
        <v>40</v>
      </c>
      <c r="G474" s="1" t="s">
        <v>23</v>
      </c>
      <c r="H474" s="1" t="s">
        <v>41</v>
      </c>
      <c r="I474" s="1">
        <v>883</v>
      </c>
      <c r="J474" s="12">
        <f t="shared" si="14"/>
        <v>45319</v>
      </c>
      <c r="K474" s="14">
        <f t="shared" si="15"/>
        <v>1</v>
      </c>
      <c r="L474" s="13"/>
      <c r="M474" s="13"/>
    </row>
    <row r="475" spans="1:13" x14ac:dyDescent="0.25">
      <c r="A475" s="1" t="s">
        <v>1685</v>
      </c>
      <c r="B475" s="1" t="s">
        <v>1686</v>
      </c>
      <c r="C475" s="1" t="s">
        <v>1687</v>
      </c>
      <c r="D475" s="1" t="s">
        <v>12</v>
      </c>
      <c r="E475" s="1" t="s">
        <v>1278</v>
      </c>
      <c r="F475" s="1" t="s">
        <v>22</v>
      </c>
      <c r="G475" s="1" t="s">
        <v>23</v>
      </c>
      <c r="H475" s="1" t="s">
        <v>30</v>
      </c>
      <c r="I475" s="1">
        <v>0</v>
      </c>
      <c r="J475" s="12">
        <f t="shared" si="14"/>
        <v>45313</v>
      </c>
      <c r="K475" s="14">
        <f t="shared" si="15"/>
        <v>1</v>
      </c>
      <c r="L475" s="13"/>
      <c r="M475" s="13"/>
    </row>
    <row r="476" spans="1:13" x14ac:dyDescent="0.25">
      <c r="A476" s="1" t="s">
        <v>1688</v>
      </c>
      <c r="B476" s="1" t="s">
        <v>1689</v>
      </c>
      <c r="C476" s="1" t="s">
        <v>1690</v>
      </c>
      <c r="D476" s="1" t="s">
        <v>45</v>
      </c>
      <c r="E476" s="1" t="s">
        <v>1570</v>
      </c>
      <c r="F476" s="1" t="s">
        <v>29</v>
      </c>
      <c r="G476" s="1" t="s">
        <v>15</v>
      </c>
      <c r="H476" s="1" t="s">
        <v>30</v>
      </c>
      <c r="I476" s="1">
        <v>402</v>
      </c>
      <c r="J476" s="12">
        <f t="shared" si="14"/>
        <v>45312</v>
      </c>
      <c r="K476" s="14">
        <f t="shared" si="15"/>
        <v>1</v>
      </c>
      <c r="L476" s="13"/>
      <c r="M476" s="13"/>
    </row>
    <row r="477" spans="1:13" x14ac:dyDescent="0.25">
      <c r="A477" s="1" t="s">
        <v>1222</v>
      </c>
      <c r="B477" s="1" t="s">
        <v>1691</v>
      </c>
      <c r="C477" s="1" t="s">
        <v>1692</v>
      </c>
      <c r="D477" s="1" t="s">
        <v>20</v>
      </c>
      <c r="E477" s="1" t="s">
        <v>1693</v>
      </c>
      <c r="F477" s="1" t="s">
        <v>75</v>
      </c>
      <c r="G477" s="1" t="s">
        <v>15</v>
      </c>
      <c r="H477" s="1" t="s">
        <v>16</v>
      </c>
      <c r="I477" s="1">
        <v>0</v>
      </c>
      <c r="J477" s="12">
        <f t="shared" si="14"/>
        <v>45323</v>
      </c>
      <c r="K477" s="14">
        <f t="shared" si="15"/>
        <v>2</v>
      </c>
      <c r="L477" s="13"/>
      <c r="M477" s="13"/>
    </row>
    <row r="478" spans="1:13" x14ac:dyDescent="0.25">
      <c r="A478" s="1" t="s">
        <v>1175</v>
      </c>
      <c r="B478" s="1" t="s">
        <v>1671</v>
      </c>
      <c r="C478" s="1" t="s">
        <v>1694</v>
      </c>
      <c r="D478" s="1" t="s">
        <v>45</v>
      </c>
      <c r="E478" s="1" t="s">
        <v>1695</v>
      </c>
      <c r="F478" s="1" t="s">
        <v>22</v>
      </c>
      <c r="G478" s="1" t="s">
        <v>15</v>
      </c>
      <c r="H478" s="1" t="s">
        <v>41</v>
      </c>
      <c r="I478" s="1">
        <v>2593</v>
      </c>
      <c r="J478" s="12">
        <f t="shared" si="14"/>
        <v>45310</v>
      </c>
      <c r="K478" s="14">
        <f t="shared" si="15"/>
        <v>1</v>
      </c>
      <c r="L478" s="13"/>
      <c r="M478" s="13"/>
    </row>
    <row r="479" spans="1:13" x14ac:dyDescent="0.25">
      <c r="A479" s="1" t="s">
        <v>9</v>
      </c>
      <c r="B479" s="1" t="s">
        <v>1696</v>
      </c>
      <c r="C479" s="1" t="s">
        <v>1697</v>
      </c>
      <c r="D479" s="1" t="s">
        <v>45</v>
      </c>
      <c r="E479" s="1" t="s">
        <v>1698</v>
      </c>
      <c r="F479" s="1" t="s">
        <v>22</v>
      </c>
      <c r="G479" s="1" t="s">
        <v>15</v>
      </c>
      <c r="H479" s="1" t="s">
        <v>16</v>
      </c>
      <c r="I479" s="1">
        <v>915</v>
      </c>
      <c r="J479" s="12">
        <f t="shared" si="14"/>
        <v>45310</v>
      </c>
      <c r="K479" s="14">
        <f t="shared" si="15"/>
        <v>1</v>
      </c>
      <c r="L479" s="13"/>
      <c r="M479" s="13"/>
    </row>
    <row r="480" spans="1:13" x14ac:dyDescent="0.25">
      <c r="A480" s="1" t="s">
        <v>1699</v>
      </c>
      <c r="B480" s="1" t="s">
        <v>1700</v>
      </c>
      <c r="C480" s="1" t="s">
        <v>1701</v>
      </c>
      <c r="D480" s="1" t="s">
        <v>20</v>
      </c>
      <c r="E480" s="1" t="s">
        <v>1702</v>
      </c>
      <c r="F480" s="1" t="s">
        <v>22</v>
      </c>
      <c r="G480" s="1" t="s">
        <v>15</v>
      </c>
      <c r="H480" s="1" t="s">
        <v>55</v>
      </c>
      <c r="I480" s="1">
        <v>0</v>
      </c>
      <c r="J480" s="12">
        <f t="shared" si="14"/>
        <v>45320</v>
      </c>
      <c r="K480" s="14">
        <f t="shared" si="15"/>
        <v>1</v>
      </c>
      <c r="L480" s="13"/>
      <c r="M480" s="13"/>
    </row>
    <row r="481" spans="1:13" x14ac:dyDescent="0.25">
      <c r="A481" s="1" t="s">
        <v>1703</v>
      </c>
      <c r="B481" s="1" t="s">
        <v>1704</v>
      </c>
      <c r="C481" s="1" t="s">
        <v>1705</v>
      </c>
      <c r="D481" s="1" t="s">
        <v>45</v>
      </c>
      <c r="E481" s="1" t="s">
        <v>1706</v>
      </c>
      <c r="F481" s="1" t="s">
        <v>22</v>
      </c>
      <c r="G481" s="1" t="s">
        <v>35</v>
      </c>
      <c r="H481" s="1" t="s">
        <v>16</v>
      </c>
      <c r="I481" s="1">
        <v>1128</v>
      </c>
      <c r="J481" s="12">
        <f t="shared" si="14"/>
        <v>45297</v>
      </c>
      <c r="K481" s="14">
        <f t="shared" si="15"/>
        <v>1</v>
      </c>
      <c r="L481" s="13"/>
      <c r="M481" s="13"/>
    </row>
    <row r="482" spans="1:13" x14ac:dyDescent="0.25">
      <c r="A482" s="1" t="s">
        <v>1707</v>
      </c>
      <c r="B482" s="1" t="s">
        <v>1708</v>
      </c>
      <c r="C482" s="1" t="s">
        <v>1709</v>
      </c>
      <c r="D482" s="1" t="s">
        <v>20</v>
      </c>
      <c r="E482" s="1" t="s">
        <v>808</v>
      </c>
      <c r="F482" s="1" t="s">
        <v>14</v>
      </c>
      <c r="G482" s="1" t="s">
        <v>23</v>
      </c>
      <c r="H482" s="1" t="s">
        <v>24</v>
      </c>
      <c r="I482" s="1">
        <v>0</v>
      </c>
      <c r="J482" s="12">
        <f t="shared" si="14"/>
        <v>45301</v>
      </c>
      <c r="K482" s="14">
        <f t="shared" si="15"/>
        <v>1</v>
      </c>
      <c r="L482" s="13"/>
      <c r="M482" s="13"/>
    </row>
    <row r="483" spans="1:13" x14ac:dyDescent="0.25">
      <c r="A483" s="1" t="s">
        <v>210</v>
      </c>
      <c r="B483" s="1" t="s">
        <v>1710</v>
      </c>
      <c r="C483" s="1" t="s">
        <v>1711</v>
      </c>
      <c r="D483" s="1" t="s">
        <v>20</v>
      </c>
      <c r="E483" s="1" t="s">
        <v>1712</v>
      </c>
      <c r="F483" s="1" t="s">
        <v>29</v>
      </c>
      <c r="G483" s="1" t="s">
        <v>23</v>
      </c>
      <c r="H483" s="1" t="s">
        <v>16</v>
      </c>
      <c r="I483" s="1">
        <v>0</v>
      </c>
      <c r="J483" s="12">
        <f t="shared" si="14"/>
        <v>45292</v>
      </c>
      <c r="K483" s="14">
        <f t="shared" si="15"/>
        <v>1</v>
      </c>
      <c r="L483" s="13"/>
      <c r="M483" s="13"/>
    </row>
    <row r="484" spans="1:13" x14ac:dyDescent="0.25">
      <c r="A484" s="1" t="s">
        <v>1713</v>
      </c>
      <c r="B484" s="1" t="s">
        <v>1714</v>
      </c>
      <c r="C484" s="1" t="s">
        <v>1715</v>
      </c>
      <c r="D484" s="1" t="s">
        <v>12</v>
      </c>
      <c r="E484" s="1" t="s">
        <v>632</v>
      </c>
      <c r="F484" s="1" t="s">
        <v>29</v>
      </c>
      <c r="G484" s="1" t="s">
        <v>15</v>
      </c>
      <c r="H484" s="1" t="s">
        <v>55</v>
      </c>
      <c r="I484" s="1">
        <v>0</v>
      </c>
      <c r="J484" s="12">
        <f t="shared" si="14"/>
        <v>45315</v>
      </c>
      <c r="K484" s="14">
        <f t="shared" si="15"/>
        <v>1</v>
      </c>
      <c r="L484" s="13"/>
      <c r="M484" s="13"/>
    </row>
    <row r="485" spans="1:13" x14ac:dyDescent="0.25">
      <c r="A485" s="1" t="s">
        <v>1625</v>
      </c>
      <c r="B485" s="1" t="s">
        <v>1716</v>
      </c>
      <c r="C485" s="1" t="s">
        <v>1717</v>
      </c>
      <c r="D485" s="1" t="s">
        <v>20</v>
      </c>
      <c r="E485" s="1" t="s">
        <v>1335</v>
      </c>
      <c r="F485" s="1" t="s">
        <v>75</v>
      </c>
      <c r="G485" s="1" t="s">
        <v>23</v>
      </c>
      <c r="H485" s="1" t="s">
        <v>24</v>
      </c>
      <c r="I485" s="1">
        <v>0</v>
      </c>
      <c r="J485" s="12">
        <f t="shared" si="14"/>
        <v>45320</v>
      </c>
      <c r="K485" s="14">
        <f t="shared" si="15"/>
        <v>1</v>
      </c>
      <c r="L485" s="13"/>
      <c r="M485" s="13"/>
    </row>
    <row r="486" spans="1:13" x14ac:dyDescent="0.25">
      <c r="A486" s="1" t="s">
        <v>1718</v>
      </c>
      <c r="B486" s="1" t="s">
        <v>1719</v>
      </c>
      <c r="C486" s="1" t="s">
        <v>1720</v>
      </c>
      <c r="D486" s="1" t="s">
        <v>20</v>
      </c>
      <c r="E486" s="1" t="s">
        <v>1721</v>
      </c>
      <c r="F486" s="1" t="s">
        <v>22</v>
      </c>
      <c r="G486" s="1" t="s">
        <v>35</v>
      </c>
      <c r="H486" s="1" t="s">
        <v>41</v>
      </c>
      <c r="I486" s="1">
        <v>0</v>
      </c>
      <c r="J486" s="12">
        <f t="shared" si="14"/>
        <v>45315</v>
      </c>
      <c r="K486" s="14">
        <f t="shared" si="15"/>
        <v>1</v>
      </c>
      <c r="L486" s="13"/>
      <c r="M486" s="13"/>
    </row>
    <row r="487" spans="1:13" x14ac:dyDescent="0.25">
      <c r="A487" s="1" t="s">
        <v>1365</v>
      </c>
      <c r="B487" s="1" t="s">
        <v>1722</v>
      </c>
      <c r="C487" s="1" t="s">
        <v>1723</v>
      </c>
      <c r="D487" s="1" t="s">
        <v>12</v>
      </c>
      <c r="E487" s="1" t="s">
        <v>1724</v>
      </c>
      <c r="F487" s="1" t="s">
        <v>29</v>
      </c>
      <c r="G487" s="1" t="s">
        <v>23</v>
      </c>
      <c r="H487" s="1" t="s">
        <v>55</v>
      </c>
      <c r="I487" s="1">
        <v>0</v>
      </c>
      <c r="J487" s="12">
        <f t="shared" si="14"/>
        <v>45305</v>
      </c>
      <c r="K487" s="14">
        <f t="shared" si="15"/>
        <v>1</v>
      </c>
      <c r="L487" s="13"/>
      <c r="M487" s="13"/>
    </row>
    <row r="488" spans="1:13" x14ac:dyDescent="0.25">
      <c r="A488" s="1" t="s">
        <v>658</v>
      </c>
      <c r="B488" s="1" t="s">
        <v>264</v>
      </c>
      <c r="C488" s="1" t="s">
        <v>1725</v>
      </c>
      <c r="D488" s="1" t="s">
        <v>12</v>
      </c>
      <c r="E488" s="1" t="s">
        <v>1726</v>
      </c>
      <c r="F488" s="1" t="s">
        <v>40</v>
      </c>
      <c r="G488" s="1" t="s">
        <v>15</v>
      </c>
      <c r="H488" s="1" t="s">
        <v>55</v>
      </c>
      <c r="I488" s="1">
        <v>0</v>
      </c>
      <c r="J488" s="12">
        <f t="shared" si="14"/>
        <v>45299</v>
      </c>
      <c r="K488" s="14">
        <f t="shared" si="15"/>
        <v>1</v>
      </c>
      <c r="L488" s="13"/>
      <c r="M488" s="13"/>
    </row>
    <row r="489" spans="1:13" x14ac:dyDescent="0.25">
      <c r="A489" s="1" t="s">
        <v>1727</v>
      </c>
      <c r="B489" s="1" t="s">
        <v>1728</v>
      </c>
      <c r="C489" s="1" t="s">
        <v>1729</v>
      </c>
      <c r="D489" s="1" t="s">
        <v>45</v>
      </c>
      <c r="E489" s="1" t="s">
        <v>158</v>
      </c>
      <c r="F489" s="1" t="s">
        <v>29</v>
      </c>
      <c r="G489" s="1" t="s">
        <v>15</v>
      </c>
      <c r="H489" s="1" t="s">
        <v>30</v>
      </c>
      <c r="I489" s="1">
        <v>980</v>
      </c>
      <c r="J489" s="12">
        <f t="shared" si="14"/>
        <v>45303</v>
      </c>
      <c r="K489" s="14">
        <f t="shared" si="15"/>
        <v>1</v>
      </c>
      <c r="L489" s="13"/>
      <c r="M489" s="13"/>
    </row>
    <row r="490" spans="1:13" x14ac:dyDescent="0.25">
      <c r="A490" s="1" t="s">
        <v>1730</v>
      </c>
      <c r="B490" s="1" t="s">
        <v>1731</v>
      </c>
      <c r="C490" s="1" t="s">
        <v>1732</v>
      </c>
      <c r="D490" s="1" t="s">
        <v>45</v>
      </c>
      <c r="E490" s="1" t="s">
        <v>1733</v>
      </c>
      <c r="F490" s="1" t="s">
        <v>29</v>
      </c>
      <c r="G490" s="1" t="s">
        <v>35</v>
      </c>
      <c r="H490" s="1" t="s">
        <v>30</v>
      </c>
      <c r="I490" s="1">
        <v>4507</v>
      </c>
      <c r="J490" s="12">
        <f t="shared" si="14"/>
        <v>45313</v>
      </c>
      <c r="K490" s="14">
        <f t="shared" si="15"/>
        <v>1</v>
      </c>
      <c r="L490" s="13"/>
      <c r="M490" s="13"/>
    </row>
    <row r="491" spans="1:13" x14ac:dyDescent="0.25">
      <c r="A491" s="1" t="s">
        <v>1734</v>
      </c>
      <c r="B491" s="1" t="s">
        <v>1735</v>
      </c>
      <c r="C491" s="1" t="s">
        <v>1736</v>
      </c>
      <c r="D491" s="1" t="s">
        <v>45</v>
      </c>
      <c r="E491" s="1" t="s">
        <v>745</v>
      </c>
      <c r="F491" s="1" t="s">
        <v>14</v>
      </c>
      <c r="G491" s="1" t="s">
        <v>23</v>
      </c>
      <c r="H491" s="1" t="s">
        <v>24</v>
      </c>
      <c r="I491" s="1">
        <v>4260</v>
      </c>
      <c r="J491" s="12">
        <f t="shared" si="14"/>
        <v>45325</v>
      </c>
      <c r="K491" s="14">
        <f t="shared" si="15"/>
        <v>2</v>
      </c>
      <c r="L491" s="13"/>
      <c r="M491" s="13"/>
    </row>
    <row r="492" spans="1:13" x14ac:dyDescent="0.25">
      <c r="A492" s="1" t="s">
        <v>351</v>
      </c>
      <c r="B492" s="1" t="s">
        <v>1737</v>
      </c>
      <c r="C492" s="1" t="s">
        <v>1738</v>
      </c>
      <c r="D492" s="1" t="s">
        <v>45</v>
      </c>
      <c r="E492" s="1" t="s">
        <v>1427</v>
      </c>
      <c r="F492" s="1" t="s">
        <v>22</v>
      </c>
      <c r="G492" s="1" t="s">
        <v>23</v>
      </c>
      <c r="H492" s="1" t="s">
        <v>30</v>
      </c>
      <c r="I492" s="1">
        <v>891</v>
      </c>
      <c r="J492" s="12">
        <f t="shared" si="14"/>
        <v>45314</v>
      </c>
      <c r="K492" s="14">
        <f t="shared" si="15"/>
        <v>1</v>
      </c>
      <c r="L492" s="13"/>
      <c r="M492" s="13"/>
    </row>
    <row r="493" spans="1:13" x14ac:dyDescent="0.25">
      <c r="A493" s="1" t="s">
        <v>1739</v>
      </c>
      <c r="B493" s="1" t="s">
        <v>1740</v>
      </c>
      <c r="C493" s="1" t="s">
        <v>1741</v>
      </c>
      <c r="D493" s="1" t="s">
        <v>45</v>
      </c>
      <c r="E493" s="1" t="s">
        <v>298</v>
      </c>
      <c r="F493" s="1" t="s">
        <v>22</v>
      </c>
      <c r="G493" s="1" t="s">
        <v>35</v>
      </c>
      <c r="H493" s="1" t="s">
        <v>24</v>
      </c>
      <c r="I493" s="1">
        <v>4441</v>
      </c>
      <c r="J493" s="12">
        <f t="shared" si="14"/>
        <v>45296</v>
      </c>
      <c r="K493" s="14">
        <f t="shared" si="15"/>
        <v>1</v>
      </c>
      <c r="L493" s="13"/>
      <c r="M493" s="13"/>
    </row>
    <row r="494" spans="1:13" x14ac:dyDescent="0.25">
      <c r="A494" s="1" t="s">
        <v>1742</v>
      </c>
      <c r="B494" s="1" t="s">
        <v>1743</v>
      </c>
      <c r="C494" s="1" t="s">
        <v>1744</v>
      </c>
      <c r="D494" s="1" t="s">
        <v>20</v>
      </c>
      <c r="E494" s="1" t="s">
        <v>1745</v>
      </c>
      <c r="F494" s="1" t="s">
        <v>14</v>
      </c>
      <c r="G494" s="1" t="s">
        <v>35</v>
      </c>
      <c r="H494" s="1" t="s">
        <v>55</v>
      </c>
      <c r="I494" s="1">
        <v>0</v>
      </c>
      <c r="J494" s="12">
        <f t="shared" si="14"/>
        <v>45302</v>
      </c>
      <c r="K494" s="14">
        <f t="shared" si="15"/>
        <v>1</v>
      </c>
      <c r="L494" s="13"/>
      <c r="M494" s="13"/>
    </row>
    <row r="495" spans="1:13" x14ac:dyDescent="0.25">
      <c r="A495" s="1" t="s">
        <v>236</v>
      </c>
      <c r="B495" s="1" t="s">
        <v>1746</v>
      </c>
      <c r="C495" s="1" t="s">
        <v>1747</v>
      </c>
      <c r="D495" s="1" t="s">
        <v>45</v>
      </c>
      <c r="E495" s="1" t="s">
        <v>1064</v>
      </c>
      <c r="F495" s="1" t="s">
        <v>75</v>
      </c>
      <c r="G495" s="1" t="s">
        <v>35</v>
      </c>
      <c r="H495" s="1" t="s">
        <v>55</v>
      </c>
      <c r="I495" s="1">
        <v>1005</v>
      </c>
      <c r="J495" s="12">
        <f t="shared" si="14"/>
        <v>45326</v>
      </c>
      <c r="K495" s="14">
        <f t="shared" si="15"/>
        <v>2</v>
      </c>
      <c r="L495" s="13"/>
      <c r="M495" s="13"/>
    </row>
    <row r="496" spans="1:13" x14ac:dyDescent="0.25">
      <c r="A496" s="1" t="s">
        <v>1748</v>
      </c>
      <c r="B496" s="1" t="s">
        <v>1749</v>
      </c>
      <c r="C496" s="1" t="s">
        <v>1750</v>
      </c>
      <c r="D496" s="1" t="s">
        <v>12</v>
      </c>
      <c r="E496" s="1" t="s">
        <v>1148</v>
      </c>
      <c r="F496" s="1" t="s">
        <v>75</v>
      </c>
      <c r="G496" s="1" t="s">
        <v>23</v>
      </c>
      <c r="H496" s="1" t="s">
        <v>41</v>
      </c>
      <c r="I496" s="1">
        <v>0</v>
      </c>
      <c r="J496" s="12">
        <f t="shared" si="14"/>
        <v>45321</v>
      </c>
      <c r="K496" s="14">
        <f t="shared" si="15"/>
        <v>1</v>
      </c>
      <c r="L496" s="13"/>
      <c r="M496" s="13"/>
    </row>
    <row r="497" spans="1:13" x14ac:dyDescent="0.25">
      <c r="A497" s="1" t="s">
        <v>666</v>
      </c>
      <c r="B497" s="1" t="s">
        <v>1751</v>
      </c>
      <c r="C497" s="1" t="s">
        <v>1752</v>
      </c>
      <c r="D497" s="1" t="s">
        <v>45</v>
      </c>
      <c r="E497" s="1" t="s">
        <v>1753</v>
      </c>
      <c r="F497" s="1" t="s">
        <v>40</v>
      </c>
      <c r="G497" s="1" t="s">
        <v>15</v>
      </c>
      <c r="H497" s="1" t="s">
        <v>16</v>
      </c>
      <c r="I497" s="1">
        <v>2738</v>
      </c>
      <c r="J497" s="12">
        <f t="shared" si="14"/>
        <v>45315</v>
      </c>
      <c r="K497" s="14">
        <f t="shared" si="15"/>
        <v>1</v>
      </c>
      <c r="L497" s="13"/>
      <c r="M497" s="13"/>
    </row>
    <row r="498" spans="1:13" x14ac:dyDescent="0.25">
      <c r="A498" s="1" t="s">
        <v>1754</v>
      </c>
      <c r="B498" s="1" t="s">
        <v>1755</v>
      </c>
      <c r="C498" s="1" t="s">
        <v>1756</v>
      </c>
      <c r="D498" s="1" t="s">
        <v>45</v>
      </c>
      <c r="E498" s="1" t="s">
        <v>1757</v>
      </c>
      <c r="F498" s="1" t="s">
        <v>22</v>
      </c>
      <c r="G498" s="1" t="s">
        <v>35</v>
      </c>
      <c r="H498" s="1" t="s">
        <v>24</v>
      </c>
      <c r="I498" s="1">
        <v>2605</v>
      </c>
      <c r="J498" s="12">
        <f t="shared" si="14"/>
        <v>45320</v>
      </c>
      <c r="K498" s="14">
        <f t="shared" si="15"/>
        <v>1</v>
      </c>
      <c r="L498" s="13"/>
      <c r="M498" s="13"/>
    </row>
    <row r="499" spans="1:13" x14ac:dyDescent="0.25">
      <c r="A499" s="1" t="s">
        <v>1758</v>
      </c>
      <c r="B499" s="1" t="s">
        <v>1759</v>
      </c>
      <c r="C499" s="1" t="s">
        <v>1760</v>
      </c>
      <c r="D499" s="1" t="s">
        <v>20</v>
      </c>
      <c r="E499" s="1" t="s">
        <v>1383</v>
      </c>
      <c r="F499" s="1" t="s">
        <v>14</v>
      </c>
      <c r="G499" s="1" t="s">
        <v>35</v>
      </c>
      <c r="H499" s="1" t="s">
        <v>16</v>
      </c>
      <c r="I499" s="1">
        <v>0</v>
      </c>
      <c r="J499" s="12">
        <f t="shared" si="14"/>
        <v>45315</v>
      </c>
      <c r="K499" s="14">
        <f t="shared" si="15"/>
        <v>1</v>
      </c>
      <c r="L499" s="13"/>
      <c r="M499" s="13"/>
    </row>
    <row r="500" spans="1:13" x14ac:dyDescent="0.25">
      <c r="A500" s="1" t="s">
        <v>1761</v>
      </c>
      <c r="B500" s="1" t="s">
        <v>1762</v>
      </c>
      <c r="C500" s="1" t="s">
        <v>1763</v>
      </c>
      <c r="D500" s="1" t="s">
        <v>20</v>
      </c>
      <c r="E500" s="1" t="s">
        <v>1695</v>
      </c>
      <c r="F500" s="1" t="s">
        <v>14</v>
      </c>
      <c r="G500" s="1" t="s">
        <v>15</v>
      </c>
      <c r="H500" s="1" t="s">
        <v>30</v>
      </c>
      <c r="I500" s="1">
        <v>0</v>
      </c>
      <c r="J500" s="12">
        <f t="shared" si="14"/>
        <v>45320</v>
      </c>
      <c r="K500" s="14">
        <f t="shared" si="15"/>
        <v>1</v>
      </c>
      <c r="L500" s="13"/>
      <c r="M500" s="13"/>
    </row>
    <row r="501" spans="1:13" x14ac:dyDescent="0.25">
      <c r="A501" s="1" t="s">
        <v>1764</v>
      </c>
      <c r="B501" s="1" t="s">
        <v>1765</v>
      </c>
      <c r="C501" s="1" t="s">
        <v>1766</v>
      </c>
      <c r="D501" s="1" t="s">
        <v>12</v>
      </c>
      <c r="E501" s="1" t="s">
        <v>1726</v>
      </c>
      <c r="F501" s="1" t="s">
        <v>75</v>
      </c>
      <c r="G501" s="1" t="s">
        <v>15</v>
      </c>
      <c r="H501" s="1" t="s">
        <v>30</v>
      </c>
      <c r="I501" s="1">
        <v>0</v>
      </c>
      <c r="J501" s="12">
        <f t="shared" si="14"/>
        <v>45306</v>
      </c>
      <c r="K501" s="14">
        <f t="shared" si="15"/>
        <v>1</v>
      </c>
      <c r="L501" s="13"/>
      <c r="M501" s="13"/>
    </row>
    <row r="502" spans="1:13" x14ac:dyDescent="0.25">
      <c r="A502" s="1" t="s">
        <v>1767</v>
      </c>
      <c r="B502" s="1" t="s">
        <v>1768</v>
      </c>
      <c r="C502" s="1" t="s">
        <v>1769</v>
      </c>
      <c r="D502" s="1" t="s">
        <v>12</v>
      </c>
      <c r="E502" s="1" t="s">
        <v>1770</v>
      </c>
      <c r="F502" s="1" t="s">
        <v>29</v>
      </c>
      <c r="G502" s="1" t="s">
        <v>15</v>
      </c>
      <c r="H502" s="1" t="s">
        <v>16</v>
      </c>
      <c r="I502" s="1">
        <v>0</v>
      </c>
      <c r="J502" s="12">
        <f t="shared" si="14"/>
        <v>45311</v>
      </c>
      <c r="K502" s="14">
        <f t="shared" si="15"/>
        <v>1</v>
      </c>
      <c r="L502" s="13"/>
      <c r="M502" s="13"/>
    </row>
    <row r="503" spans="1:13" x14ac:dyDescent="0.25">
      <c r="A503" s="1" t="s">
        <v>319</v>
      </c>
      <c r="B503" s="1" t="s">
        <v>1771</v>
      </c>
      <c r="C503" s="1" t="s">
        <v>1772</v>
      </c>
      <c r="D503" s="1" t="s">
        <v>20</v>
      </c>
      <c r="E503" s="1" t="s">
        <v>1773</v>
      </c>
      <c r="F503" s="1" t="s">
        <v>40</v>
      </c>
      <c r="G503" s="1" t="s">
        <v>23</v>
      </c>
      <c r="H503" s="1" t="s">
        <v>24</v>
      </c>
      <c r="I503" s="1">
        <v>0</v>
      </c>
      <c r="J503" s="12">
        <f t="shared" si="14"/>
        <v>45321</v>
      </c>
      <c r="K503" s="14">
        <f t="shared" si="15"/>
        <v>1</v>
      </c>
      <c r="L503" s="13"/>
      <c r="M503" s="13"/>
    </row>
    <row r="504" spans="1:13" x14ac:dyDescent="0.25">
      <c r="A504" s="1" t="s">
        <v>370</v>
      </c>
      <c r="B504" s="1" t="s">
        <v>1774</v>
      </c>
      <c r="C504" s="1" t="s">
        <v>1775</v>
      </c>
      <c r="D504" s="1" t="s">
        <v>45</v>
      </c>
      <c r="E504" s="1" t="s">
        <v>1776</v>
      </c>
      <c r="F504" s="1" t="s">
        <v>22</v>
      </c>
      <c r="G504" s="1" t="s">
        <v>15</v>
      </c>
      <c r="H504" s="1" t="s">
        <v>16</v>
      </c>
      <c r="I504" s="1">
        <v>1595</v>
      </c>
      <c r="J504" s="12">
        <f t="shared" si="14"/>
        <v>45321</v>
      </c>
      <c r="K504" s="14">
        <f t="shared" si="15"/>
        <v>1</v>
      </c>
      <c r="L504" s="13"/>
      <c r="M504" s="13"/>
    </row>
    <row r="505" spans="1:13" x14ac:dyDescent="0.25">
      <c r="A505" s="1" t="s">
        <v>1777</v>
      </c>
      <c r="B505" s="1" t="s">
        <v>1778</v>
      </c>
      <c r="C505" s="1" t="s">
        <v>1779</v>
      </c>
      <c r="D505" s="1" t="s">
        <v>20</v>
      </c>
      <c r="E505" s="1" t="s">
        <v>1780</v>
      </c>
      <c r="F505" s="1" t="s">
        <v>22</v>
      </c>
      <c r="G505" s="1" t="s">
        <v>23</v>
      </c>
      <c r="H505" s="1" t="s">
        <v>30</v>
      </c>
      <c r="I505" s="1">
        <v>0</v>
      </c>
      <c r="J505" s="12">
        <f t="shared" si="14"/>
        <v>45301</v>
      </c>
      <c r="K505" s="14">
        <f t="shared" si="15"/>
        <v>1</v>
      </c>
      <c r="L505" s="13"/>
      <c r="M505" s="13"/>
    </row>
    <row r="506" spans="1:13" x14ac:dyDescent="0.25">
      <c r="A506" s="1" t="s">
        <v>1781</v>
      </c>
      <c r="B506" s="1" t="s">
        <v>1782</v>
      </c>
      <c r="C506" s="1" t="s">
        <v>1783</v>
      </c>
      <c r="D506" s="1" t="s">
        <v>20</v>
      </c>
      <c r="E506" s="1" t="s">
        <v>1784</v>
      </c>
      <c r="F506" s="1" t="s">
        <v>14</v>
      </c>
      <c r="G506" s="1" t="s">
        <v>35</v>
      </c>
      <c r="H506" s="1" t="s">
        <v>41</v>
      </c>
      <c r="I506" s="1">
        <v>0</v>
      </c>
      <c r="J506" s="12">
        <f t="shared" si="14"/>
        <v>45325</v>
      </c>
      <c r="K506" s="14">
        <f t="shared" si="15"/>
        <v>2</v>
      </c>
      <c r="L506" s="13"/>
      <c r="M506" s="13"/>
    </row>
    <row r="507" spans="1:13" x14ac:dyDescent="0.25">
      <c r="A507" s="1" t="s">
        <v>1785</v>
      </c>
      <c r="B507" s="1" t="s">
        <v>1786</v>
      </c>
      <c r="C507" s="1" t="s">
        <v>1254</v>
      </c>
      <c r="D507" s="1" t="s">
        <v>20</v>
      </c>
      <c r="E507" s="1" t="s">
        <v>1787</v>
      </c>
      <c r="F507" s="1" t="s">
        <v>75</v>
      </c>
      <c r="G507" s="1" t="s">
        <v>23</v>
      </c>
      <c r="H507" s="1" t="s">
        <v>55</v>
      </c>
      <c r="I507" s="1">
        <v>0</v>
      </c>
      <c r="J507" s="12">
        <f t="shared" si="14"/>
        <v>45310</v>
      </c>
      <c r="K507" s="14">
        <f t="shared" si="15"/>
        <v>1</v>
      </c>
      <c r="L507" s="13"/>
      <c r="M507" s="13"/>
    </row>
    <row r="508" spans="1:13" x14ac:dyDescent="0.25">
      <c r="A508" s="1" t="s">
        <v>542</v>
      </c>
      <c r="B508" s="1" t="s">
        <v>1788</v>
      </c>
      <c r="C508" s="1" t="s">
        <v>1789</v>
      </c>
      <c r="D508" s="1" t="s">
        <v>20</v>
      </c>
      <c r="E508" s="1" t="s">
        <v>1790</v>
      </c>
      <c r="F508" s="1" t="s">
        <v>75</v>
      </c>
      <c r="G508" s="1" t="s">
        <v>23</v>
      </c>
      <c r="H508" s="1" t="s">
        <v>30</v>
      </c>
      <c r="I508" s="1">
        <v>0</v>
      </c>
      <c r="J508" s="12">
        <f t="shared" si="14"/>
        <v>45302</v>
      </c>
      <c r="K508" s="14">
        <f t="shared" si="15"/>
        <v>1</v>
      </c>
      <c r="L508" s="13"/>
      <c r="M508" s="13"/>
    </row>
    <row r="509" spans="1:13" x14ac:dyDescent="0.25">
      <c r="A509" s="1" t="s">
        <v>400</v>
      </c>
      <c r="B509" s="1" t="s">
        <v>1791</v>
      </c>
      <c r="C509" s="1" t="s">
        <v>1792</v>
      </c>
      <c r="D509" s="1" t="s">
        <v>20</v>
      </c>
      <c r="E509" s="1" t="s">
        <v>1412</v>
      </c>
      <c r="F509" s="1" t="s">
        <v>29</v>
      </c>
      <c r="G509" s="1" t="s">
        <v>35</v>
      </c>
      <c r="H509" s="1" t="s">
        <v>41</v>
      </c>
      <c r="I509" s="1">
        <v>0</v>
      </c>
      <c r="J509" s="12">
        <f t="shared" si="14"/>
        <v>45303</v>
      </c>
      <c r="K509" s="14">
        <f t="shared" si="15"/>
        <v>1</v>
      </c>
      <c r="L509" s="13"/>
      <c r="M509" s="13"/>
    </row>
    <row r="510" spans="1:13" x14ac:dyDescent="0.25">
      <c r="A510" s="1" t="s">
        <v>1793</v>
      </c>
      <c r="B510" s="1" t="s">
        <v>1794</v>
      </c>
      <c r="C510" s="1" t="s">
        <v>1795</v>
      </c>
      <c r="D510" s="1" t="s">
        <v>12</v>
      </c>
      <c r="E510" s="1" t="s">
        <v>910</v>
      </c>
      <c r="F510" s="1" t="s">
        <v>75</v>
      </c>
      <c r="G510" s="1" t="s">
        <v>35</v>
      </c>
      <c r="H510" s="1" t="s">
        <v>24</v>
      </c>
      <c r="I510" s="1">
        <v>0</v>
      </c>
      <c r="J510" s="12">
        <f t="shared" si="14"/>
        <v>45294</v>
      </c>
      <c r="K510" s="14">
        <f t="shared" si="15"/>
        <v>1</v>
      </c>
      <c r="L510" s="13"/>
      <c r="M510" s="13"/>
    </row>
    <row r="511" spans="1:13" x14ac:dyDescent="0.25">
      <c r="A511" s="1" t="s">
        <v>1796</v>
      </c>
      <c r="B511" s="1" t="s">
        <v>755</v>
      </c>
      <c r="C511" s="1" t="s">
        <v>1797</v>
      </c>
      <c r="D511" s="1" t="s">
        <v>12</v>
      </c>
      <c r="E511" s="1" t="s">
        <v>302</v>
      </c>
      <c r="F511" s="1" t="s">
        <v>40</v>
      </c>
      <c r="G511" s="1" t="s">
        <v>23</v>
      </c>
      <c r="H511" s="1" t="s">
        <v>41</v>
      </c>
      <c r="I511" s="1">
        <v>0</v>
      </c>
      <c r="J511" s="12">
        <f t="shared" si="14"/>
        <v>45325</v>
      </c>
      <c r="K511" s="14">
        <f t="shared" si="15"/>
        <v>2</v>
      </c>
      <c r="L511" s="13"/>
      <c r="M511" s="13"/>
    </row>
    <row r="512" spans="1:13" x14ac:dyDescent="0.25">
      <c r="A512" s="1" t="s">
        <v>1798</v>
      </c>
      <c r="B512" s="1" t="s">
        <v>1799</v>
      </c>
      <c r="C512" s="1" t="s">
        <v>1800</v>
      </c>
      <c r="D512" s="1" t="s">
        <v>20</v>
      </c>
      <c r="E512" s="1" t="s">
        <v>1801</v>
      </c>
      <c r="F512" s="1" t="s">
        <v>29</v>
      </c>
      <c r="G512" s="1" t="s">
        <v>15</v>
      </c>
      <c r="H512" s="1" t="s">
        <v>41</v>
      </c>
      <c r="I512" s="1">
        <v>0</v>
      </c>
      <c r="J512" s="12">
        <f t="shared" si="14"/>
        <v>45325</v>
      </c>
      <c r="K512" s="14">
        <f t="shared" si="15"/>
        <v>2</v>
      </c>
      <c r="L512" s="13"/>
      <c r="M512" s="13"/>
    </row>
    <row r="513" spans="1:13" x14ac:dyDescent="0.25">
      <c r="A513" s="1" t="s">
        <v>1802</v>
      </c>
      <c r="B513" s="1" t="s">
        <v>1803</v>
      </c>
      <c r="C513" s="1" t="s">
        <v>1804</v>
      </c>
      <c r="D513" s="1" t="s">
        <v>45</v>
      </c>
      <c r="E513" s="1" t="s">
        <v>1805</v>
      </c>
      <c r="F513" s="1" t="s">
        <v>29</v>
      </c>
      <c r="G513" s="1" t="s">
        <v>35</v>
      </c>
      <c r="H513" s="1" t="s">
        <v>24</v>
      </c>
      <c r="I513" s="1">
        <v>4000</v>
      </c>
      <c r="J513" s="12">
        <f t="shared" si="14"/>
        <v>45324</v>
      </c>
      <c r="K513" s="14">
        <f t="shared" si="15"/>
        <v>2</v>
      </c>
      <c r="L513" s="13"/>
      <c r="M513" s="13"/>
    </row>
    <row r="514" spans="1:13" x14ac:dyDescent="0.25">
      <c r="A514" s="1" t="s">
        <v>1806</v>
      </c>
      <c r="B514" s="1" t="s">
        <v>1807</v>
      </c>
      <c r="C514" s="1" t="s">
        <v>1808</v>
      </c>
      <c r="D514" s="1" t="s">
        <v>20</v>
      </c>
      <c r="E514" s="1" t="s">
        <v>1809</v>
      </c>
      <c r="F514" s="1" t="s">
        <v>40</v>
      </c>
      <c r="G514" s="1" t="s">
        <v>35</v>
      </c>
      <c r="H514" s="1" t="s">
        <v>41</v>
      </c>
      <c r="I514" s="1">
        <v>0</v>
      </c>
      <c r="J514" s="12">
        <f t="shared" si="14"/>
        <v>45303</v>
      </c>
      <c r="K514" s="14">
        <f t="shared" si="15"/>
        <v>1</v>
      </c>
      <c r="L514" s="13"/>
      <c r="M514" s="13"/>
    </row>
    <row r="515" spans="1:13" x14ac:dyDescent="0.25">
      <c r="A515" s="1" t="s">
        <v>1810</v>
      </c>
      <c r="B515" s="1" t="s">
        <v>1811</v>
      </c>
      <c r="C515" s="1" t="s">
        <v>1812</v>
      </c>
      <c r="D515" s="1" t="s">
        <v>45</v>
      </c>
      <c r="E515" s="1" t="s">
        <v>775</v>
      </c>
      <c r="F515" s="1" t="s">
        <v>14</v>
      </c>
      <c r="G515" s="1" t="s">
        <v>23</v>
      </c>
      <c r="H515" s="1" t="s">
        <v>55</v>
      </c>
      <c r="I515" s="1">
        <v>1283</v>
      </c>
      <c r="J515" s="12">
        <f t="shared" si="14"/>
        <v>45319</v>
      </c>
      <c r="K515" s="14">
        <f t="shared" si="15"/>
        <v>1</v>
      </c>
      <c r="L515" s="13"/>
      <c r="M515" s="13"/>
    </row>
    <row r="516" spans="1:13" x14ac:dyDescent="0.25">
      <c r="A516" s="1" t="s">
        <v>1813</v>
      </c>
      <c r="B516" s="1" t="s">
        <v>1814</v>
      </c>
      <c r="C516" s="1" t="s">
        <v>1815</v>
      </c>
      <c r="D516" s="1" t="s">
        <v>45</v>
      </c>
      <c r="E516" s="1" t="s">
        <v>1300</v>
      </c>
      <c r="F516" s="1" t="s">
        <v>29</v>
      </c>
      <c r="G516" s="1" t="s">
        <v>23</v>
      </c>
      <c r="H516" s="1" t="s">
        <v>41</v>
      </c>
      <c r="I516" s="1">
        <v>2627</v>
      </c>
      <c r="J516" s="12">
        <f t="shared" ref="J516:J579" si="16">INT(C516)</f>
        <v>45293</v>
      </c>
      <c r="K516" s="14">
        <f t="shared" ref="K516:K579" si="17">MONTH(C516)</f>
        <v>1</v>
      </c>
      <c r="L516" s="13"/>
      <c r="M516" s="13"/>
    </row>
    <row r="517" spans="1:13" x14ac:dyDescent="0.25">
      <c r="A517" s="1" t="s">
        <v>1816</v>
      </c>
      <c r="B517" s="1" t="s">
        <v>1817</v>
      </c>
      <c r="C517" s="1" t="s">
        <v>1818</v>
      </c>
      <c r="D517" s="1" t="s">
        <v>12</v>
      </c>
      <c r="E517" s="1" t="s">
        <v>1819</v>
      </c>
      <c r="F517" s="1" t="s">
        <v>22</v>
      </c>
      <c r="G517" s="1" t="s">
        <v>15</v>
      </c>
      <c r="H517" s="1" t="s">
        <v>55</v>
      </c>
      <c r="I517" s="1">
        <v>0</v>
      </c>
      <c r="J517" s="12">
        <f t="shared" si="16"/>
        <v>45320</v>
      </c>
      <c r="K517" s="14">
        <f t="shared" si="17"/>
        <v>1</v>
      </c>
      <c r="L517" s="13"/>
      <c r="M517" s="13"/>
    </row>
    <row r="518" spans="1:13" x14ac:dyDescent="0.25">
      <c r="A518" s="1" t="s">
        <v>1592</v>
      </c>
      <c r="B518" s="1" t="s">
        <v>1820</v>
      </c>
      <c r="C518" s="1" t="s">
        <v>1821</v>
      </c>
      <c r="D518" s="1" t="s">
        <v>12</v>
      </c>
      <c r="E518" s="1" t="s">
        <v>1822</v>
      </c>
      <c r="F518" s="1" t="s">
        <v>40</v>
      </c>
      <c r="G518" s="1" t="s">
        <v>23</v>
      </c>
      <c r="H518" s="1" t="s">
        <v>24</v>
      </c>
      <c r="I518" s="1">
        <v>0</v>
      </c>
      <c r="J518" s="12">
        <f t="shared" si="16"/>
        <v>45324</v>
      </c>
      <c r="K518" s="14">
        <f t="shared" si="17"/>
        <v>2</v>
      </c>
      <c r="L518" s="13"/>
      <c r="M518" s="13"/>
    </row>
    <row r="519" spans="1:13" x14ac:dyDescent="0.25">
      <c r="A519" s="1" t="s">
        <v>860</v>
      </c>
      <c r="B519" s="1" t="s">
        <v>1823</v>
      </c>
      <c r="C519" s="1" t="s">
        <v>1824</v>
      </c>
      <c r="D519" s="1" t="s">
        <v>20</v>
      </c>
      <c r="E519" s="1" t="s">
        <v>1412</v>
      </c>
      <c r="F519" s="1" t="s">
        <v>14</v>
      </c>
      <c r="G519" s="1" t="s">
        <v>23</v>
      </c>
      <c r="H519" s="1" t="s">
        <v>41</v>
      </c>
      <c r="I519" s="1">
        <v>0</v>
      </c>
      <c r="J519" s="12">
        <f t="shared" si="16"/>
        <v>45315</v>
      </c>
      <c r="K519" s="14">
        <f t="shared" si="17"/>
        <v>1</v>
      </c>
      <c r="L519" s="13"/>
      <c r="M519" s="13"/>
    </row>
    <row r="520" spans="1:13" x14ac:dyDescent="0.25">
      <c r="A520" s="1" t="s">
        <v>1574</v>
      </c>
      <c r="B520" s="1" t="s">
        <v>1825</v>
      </c>
      <c r="C520" s="1" t="s">
        <v>1826</v>
      </c>
      <c r="D520" s="1" t="s">
        <v>12</v>
      </c>
      <c r="E520" s="1" t="s">
        <v>1573</v>
      </c>
      <c r="F520" s="1" t="s">
        <v>29</v>
      </c>
      <c r="G520" s="1" t="s">
        <v>23</v>
      </c>
      <c r="H520" s="1" t="s">
        <v>30</v>
      </c>
      <c r="I520" s="1">
        <v>0</v>
      </c>
      <c r="J520" s="12">
        <f t="shared" si="16"/>
        <v>45323</v>
      </c>
      <c r="K520" s="14">
        <f t="shared" si="17"/>
        <v>2</v>
      </c>
      <c r="L520" s="13"/>
      <c r="M520" s="13"/>
    </row>
    <row r="521" spans="1:13" x14ac:dyDescent="0.25">
      <c r="A521" s="1" t="s">
        <v>1827</v>
      </c>
      <c r="B521" s="1" t="s">
        <v>1828</v>
      </c>
      <c r="C521" s="1" t="s">
        <v>1829</v>
      </c>
      <c r="D521" s="1" t="s">
        <v>12</v>
      </c>
      <c r="E521" s="1" t="s">
        <v>1480</v>
      </c>
      <c r="F521" s="1" t="s">
        <v>22</v>
      </c>
      <c r="G521" s="1" t="s">
        <v>15</v>
      </c>
      <c r="H521" s="1" t="s">
        <v>16</v>
      </c>
      <c r="I521" s="1">
        <v>0</v>
      </c>
      <c r="J521" s="12">
        <f t="shared" si="16"/>
        <v>45309</v>
      </c>
      <c r="K521" s="14">
        <f t="shared" si="17"/>
        <v>1</v>
      </c>
      <c r="L521" s="13"/>
      <c r="M521" s="13"/>
    </row>
    <row r="522" spans="1:13" x14ac:dyDescent="0.25">
      <c r="A522" s="1" t="s">
        <v>1830</v>
      </c>
      <c r="B522" s="1" t="s">
        <v>1831</v>
      </c>
      <c r="C522" s="1" t="s">
        <v>1832</v>
      </c>
      <c r="D522" s="1" t="s">
        <v>12</v>
      </c>
      <c r="E522" s="1" t="s">
        <v>1833</v>
      </c>
      <c r="F522" s="1" t="s">
        <v>40</v>
      </c>
      <c r="G522" s="1" t="s">
        <v>15</v>
      </c>
      <c r="H522" s="1" t="s">
        <v>16</v>
      </c>
      <c r="I522" s="1">
        <v>0</v>
      </c>
      <c r="J522" s="12">
        <f t="shared" si="16"/>
        <v>45308</v>
      </c>
      <c r="K522" s="14">
        <f t="shared" si="17"/>
        <v>1</v>
      </c>
      <c r="L522" s="13"/>
      <c r="M522" s="13"/>
    </row>
    <row r="523" spans="1:13" x14ac:dyDescent="0.25">
      <c r="A523" s="1" t="s">
        <v>870</v>
      </c>
      <c r="B523" s="1" t="s">
        <v>1834</v>
      </c>
      <c r="C523" s="1" t="s">
        <v>1835</v>
      </c>
      <c r="D523" s="1" t="s">
        <v>45</v>
      </c>
      <c r="E523" s="1" t="s">
        <v>1836</v>
      </c>
      <c r="F523" s="1" t="s">
        <v>29</v>
      </c>
      <c r="G523" s="1" t="s">
        <v>35</v>
      </c>
      <c r="H523" s="1" t="s">
        <v>41</v>
      </c>
      <c r="I523" s="1">
        <v>1347</v>
      </c>
      <c r="J523" s="12">
        <f t="shared" si="16"/>
        <v>45314</v>
      </c>
      <c r="K523" s="14">
        <f t="shared" si="17"/>
        <v>1</v>
      </c>
      <c r="L523" s="13"/>
      <c r="M523" s="13"/>
    </row>
    <row r="524" spans="1:13" x14ac:dyDescent="0.25">
      <c r="A524" s="1" t="s">
        <v>919</v>
      </c>
      <c r="B524" s="1" t="s">
        <v>1837</v>
      </c>
      <c r="C524" s="1" t="s">
        <v>1838</v>
      </c>
      <c r="D524" s="1" t="s">
        <v>20</v>
      </c>
      <c r="E524" s="1" t="s">
        <v>918</v>
      </c>
      <c r="F524" s="1" t="s">
        <v>40</v>
      </c>
      <c r="G524" s="1" t="s">
        <v>15</v>
      </c>
      <c r="H524" s="1" t="s">
        <v>30</v>
      </c>
      <c r="I524" s="1">
        <v>0</v>
      </c>
      <c r="J524" s="12">
        <f t="shared" si="16"/>
        <v>45318</v>
      </c>
      <c r="K524" s="14">
        <f t="shared" si="17"/>
        <v>1</v>
      </c>
      <c r="L524" s="13"/>
      <c r="M524" s="13"/>
    </row>
    <row r="525" spans="1:13" x14ac:dyDescent="0.25">
      <c r="A525" s="1" t="s">
        <v>1839</v>
      </c>
      <c r="B525" s="1" t="s">
        <v>1840</v>
      </c>
      <c r="C525" s="1" t="s">
        <v>1841</v>
      </c>
      <c r="D525" s="1" t="s">
        <v>20</v>
      </c>
      <c r="E525" s="1" t="s">
        <v>505</v>
      </c>
      <c r="F525" s="1" t="s">
        <v>40</v>
      </c>
      <c r="G525" s="1" t="s">
        <v>35</v>
      </c>
      <c r="H525" s="1" t="s">
        <v>24</v>
      </c>
      <c r="I525" s="1">
        <v>0</v>
      </c>
      <c r="J525" s="12">
        <f t="shared" si="16"/>
        <v>45306</v>
      </c>
      <c r="K525" s="14">
        <f t="shared" si="17"/>
        <v>1</v>
      </c>
      <c r="L525" s="13"/>
      <c r="M525" s="13"/>
    </row>
    <row r="526" spans="1:13" x14ac:dyDescent="0.25">
      <c r="A526" s="1" t="s">
        <v>546</v>
      </c>
      <c r="B526" s="1" t="s">
        <v>1842</v>
      </c>
      <c r="C526" s="1" t="s">
        <v>1843</v>
      </c>
      <c r="D526" s="1" t="s">
        <v>20</v>
      </c>
      <c r="E526" s="1" t="s">
        <v>1844</v>
      </c>
      <c r="F526" s="1" t="s">
        <v>22</v>
      </c>
      <c r="G526" s="1" t="s">
        <v>35</v>
      </c>
      <c r="H526" s="1" t="s">
        <v>16</v>
      </c>
      <c r="I526" s="1">
        <v>0</v>
      </c>
      <c r="J526" s="12">
        <f t="shared" si="16"/>
        <v>45297</v>
      </c>
      <c r="K526" s="14">
        <f t="shared" si="17"/>
        <v>1</v>
      </c>
      <c r="L526" s="13"/>
      <c r="M526" s="13"/>
    </row>
    <row r="527" spans="1:13" x14ac:dyDescent="0.25">
      <c r="A527" s="1" t="s">
        <v>1845</v>
      </c>
      <c r="B527" s="1" t="s">
        <v>1653</v>
      </c>
      <c r="C527" s="1" t="s">
        <v>1846</v>
      </c>
      <c r="D527" s="1" t="s">
        <v>12</v>
      </c>
      <c r="E527" s="1" t="s">
        <v>1847</v>
      </c>
      <c r="F527" s="1" t="s">
        <v>75</v>
      </c>
      <c r="G527" s="1" t="s">
        <v>15</v>
      </c>
      <c r="H527" s="1" t="s">
        <v>24</v>
      </c>
      <c r="I527" s="1">
        <v>0</v>
      </c>
      <c r="J527" s="12">
        <f t="shared" si="16"/>
        <v>45298</v>
      </c>
      <c r="K527" s="14">
        <f t="shared" si="17"/>
        <v>1</v>
      </c>
      <c r="L527" s="13"/>
      <c r="M527" s="13"/>
    </row>
    <row r="528" spans="1:13" x14ac:dyDescent="0.25">
      <c r="A528" s="1" t="s">
        <v>1167</v>
      </c>
      <c r="B528" s="1" t="s">
        <v>1848</v>
      </c>
      <c r="C528" s="1" t="s">
        <v>1849</v>
      </c>
      <c r="D528" s="1" t="s">
        <v>45</v>
      </c>
      <c r="E528" s="1" t="s">
        <v>162</v>
      </c>
      <c r="F528" s="1" t="s">
        <v>40</v>
      </c>
      <c r="G528" s="1" t="s">
        <v>23</v>
      </c>
      <c r="H528" s="1" t="s">
        <v>30</v>
      </c>
      <c r="I528" s="1">
        <v>707</v>
      </c>
      <c r="J528" s="12">
        <f t="shared" si="16"/>
        <v>45311</v>
      </c>
      <c r="K528" s="14">
        <f t="shared" si="17"/>
        <v>1</v>
      </c>
      <c r="L528" s="13"/>
      <c r="M528" s="13"/>
    </row>
    <row r="529" spans="1:13" x14ac:dyDescent="0.25">
      <c r="A529" s="1" t="s">
        <v>1850</v>
      </c>
      <c r="B529" s="1" t="s">
        <v>1851</v>
      </c>
      <c r="C529" s="1" t="s">
        <v>1789</v>
      </c>
      <c r="D529" s="1" t="s">
        <v>12</v>
      </c>
      <c r="E529" s="1" t="s">
        <v>1852</v>
      </c>
      <c r="F529" s="1" t="s">
        <v>14</v>
      </c>
      <c r="G529" s="1" t="s">
        <v>35</v>
      </c>
      <c r="H529" s="1" t="s">
        <v>24</v>
      </c>
      <c r="I529" s="1">
        <v>0</v>
      </c>
      <c r="J529" s="12">
        <f t="shared" si="16"/>
        <v>45302</v>
      </c>
      <c r="K529" s="14">
        <f t="shared" si="17"/>
        <v>1</v>
      </c>
      <c r="L529" s="13"/>
      <c r="M529" s="13"/>
    </row>
    <row r="530" spans="1:13" x14ac:dyDescent="0.25">
      <c r="A530" s="1" t="s">
        <v>1853</v>
      </c>
      <c r="B530" s="1" t="s">
        <v>1854</v>
      </c>
      <c r="C530" s="1" t="s">
        <v>1855</v>
      </c>
      <c r="D530" s="1" t="s">
        <v>12</v>
      </c>
      <c r="E530" s="1" t="s">
        <v>485</v>
      </c>
      <c r="F530" s="1" t="s">
        <v>75</v>
      </c>
      <c r="G530" s="1" t="s">
        <v>15</v>
      </c>
      <c r="H530" s="1" t="s">
        <v>24</v>
      </c>
      <c r="I530" s="1">
        <v>0</v>
      </c>
      <c r="J530" s="12">
        <f t="shared" si="16"/>
        <v>45293</v>
      </c>
      <c r="K530" s="14">
        <f t="shared" si="17"/>
        <v>1</v>
      </c>
      <c r="L530" s="13"/>
      <c r="M530" s="13"/>
    </row>
    <row r="531" spans="1:13" x14ac:dyDescent="0.25">
      <c r="A531" s="1" t="s">
        <v>1856</v>
      </c>
      <c r="B531" s="1" t="s">
        <v>1857</v>
      </c>
      <c r="C531" s="1" t="s">
        <v>1858</v>
      </c>
      <c r="D531" s="1" t="s">
        <v>12</v>
      </c>
      <c r="E531" s="1" t="s">
        <v>1284</v>
      </c>
      <c r="F531" s="1" t="s">
        <v>29</v>
      </c>
      <c r="G531" s="1" t="s">
        <v>15</v>
      </c>
      <c r="H531" s="1" t="s">
        <v>55</v>
      </c>
      <c r="I531" s="1">
        <v>0</v>
      </c>
      <c r="J531" s="12">
        <f t="shared" si="16"/>
        <v>45316</v>
      </c>
      <c r="K531" s="14">
        <f t="shared" si="17"/>
        <v>1</v>
      </c>
      <c r="L531" s="13"/>
      <c r="M531" s="13"/>
    </row>
    <row r="532" spans="1:13" x14ac:dyDescent="0.25">
      <c r="A532" s="1" t="s">
        <v>179</v>
      </c>
      <c r="B532" s="1" t="s">
        <v>1859</v>
      </c>
      <c r="C532" s="1" t="s">
        <v>1860</v>
      </c>
      <c r="D532" s="1" t="s">
        <v>12</v>
      </c>
      <c r="E532" s="1" t="s">
        <v>1861</v>
      </c>
      <c r="F532" s="1" t="s">
        <v>75</v>
      </c>
      <c r="G532" s="1" t="s">
        <v>23</v>
      </c>
      <c r="H532" s="1" t="s">
        <v>55</v>
      </c>
      <c r="I532" s="1">
        <v>0</v>
      </c>
      <c r="J532" s="12">
        <f t="shared" si="16"/>
        <v>45321</v>
      </c>
      <c r="K532" s="14">
        <f t="shared" si="17"/>
        <v>1</v>
      </c>
      <c r="L532" s="13"/>
      <c r="M532" s="13"/>
    </row>
    <row r="533" spans="1:13" x14ac:dyDescent="0.25">
      <c r="A533" s="1" t="s">
        <v>1764</v>
      </c>
      <c r="B533" s="1" t="s">
        <v>1862</v>
      </c>
      <c r="C533" s="1" t="s">
        <v>1863</v>
      </c>
      <c r="D533" s="1" t="s">
        <v>20</v>
      </c>
      <c r="E533" s="1" t="s">
        <v>326</v>
      </c>
      <c r="F533" s="1" t="s">
        <v>14</v>
      </c>
      <c r="G533" s="1" t="s">
        <v>15</v>
      </c>
      <c r="H533" s="1" t="s">
        <v>24</v>
      </c>
      <c r="I533" s="1">
        <v>0</v>
      </c>
      <c r="J533" s="12">
        <f t="shared" si="16"/>
        <v>45307</v>
      </c>
      <c r="K533" s="14">
        <f t="shared" si="17"/>
        <v>1</v>
      </c>
      <c r="L533" s="13"/>
      <c r="M533" s="13"/>
    </row>
    <row r="534" spans="1:13" x14ac:dyDescent="0.25">
      <c r="A534" s="1" t="s">
        <v>1864</v>
      </c>
      <c r="B534" s="1" t="s">
        <v>1865</v>
      </c>
      <c r="C534" s="1" t="s">
        <v>1866</v>
      </c>
      <c r="D534" s="1" t="s">
        <v>12</v>
      </c>
      <c r="E534" s="1" t="s">
        <v>330</v>
      </c>
      <c r="F534" s="1" t="s">
        <v>14</v>
      </c>
      <c r="G534" s="1" t="s">
        <v>35</v>
      </c>
      <c r="H534" s="1" t="s">
        <v>41</v>
      </c>
      <c r="I534" s="1">
        <v>0</v>
      </c>
      <c r="J534" s="12">
        <f t="shared" si="16"/>
        <v>45293</v>
      </c>
      <c r="K534" s="14">
        <f t="shared" si="17"/>
        <v>1</v>
      </c>
      <c r="L534" s="13"/>
      <c r="M534" s="13"/>
    </row>
    <row r="535" spans="1:13" x14ac:dyDescent="0.25">
      <c r="A535" s="1" t="s">
        <v>1867</v>
      </c>
      <c r="B535" s="1" t="s">
        <v>1868</v>
      </c>
      <c r="C535" s="1" t="s">
        <v>1869</v>
      </c>
      <c r="D535" s="1" t="s">
        <v>20</v>
      </c>
      <c r="E535" s="1" t="s">
        <v>310</v>
      </c>
      <c r="F535" s="1" t="s">
        <v>14</v>
      </c>
      <c r="G535" s="1" t="s">
        <v>23</v>
      </c>
      <c r="H535" s="1" t="s">
        <v>41</v>
      </c>
      <c r="I535" s="1">
        <v>0</v>
      </c>
      <c r="J535" s="12">
        <f t="shared" si="16"/>
        <v>45298</v>
      </c>
      <c r="K535" s="14">
        <f t="shared" si="17"/>
        <v>1</v>
      </c>
      <c r="L535" s="13"/>
      <c r="M535" s="13"/>
    </row>
    <row r="536" spans="1:13" x14ac:dyDescent="0.25">
      <c r="A536" s="1" t="s">
        <v>1870</v>
      </c>
      <c r="B536" s="1" t="s">
        <v>1871</v>
      </c>
      <c r="C536" s="1" t="s">
        <v>1872</v>
      </c>
      <c r="D536" s="1" t="s">
        <v>12</v>
      </c>
      <c r="E536" s="1" t="s">
        <v>1873</v>
      </c>
      <c r="F536" s="1" t="s">
        <v>75</v>
      </c>
      <c r="G536" s="1" t="s">
        <v>35</v>
      </c>
      <c r="H536" s="1" t="s">
        <v>16</v>
      </c>
      <c r="I536" s="1">
        <v>0</v>
      </c>
      <c r="J536" s="12">
        <f t="shared" si="16"/>
        <v>45293</v>
      </c>
      <c r="K536" s="14">
        <f t="shared" si="17"/>
        <v>1</v>
      </c>
      <c r="L536" s="13"/>
      <c r="M536" s="13"/>
    </row>
    <row r="537" spans="1:13" x14ac:dyDescent="0.25">
      <c r="A537" s="1" t="s">
        <v>1874</v>
      </c>
      <c r="B537" s="1" t="s">
        <v>1875</v>
      </c>
      <c r="C537" s="1" t="s">
        <v>1876</v>
      </c>
      <c r="D537" s="1" t="s">
        <v>45</v>
      </c>
      <c r="E537" s="1" t="s">
        <v>454</v>
      </c>
      <c r="F537" s="1" t="s">
        <v>14</v>
      </c>
      <c r="G537" s="1" t="s">
        <v>23</v>
      </c>
      <c r="H537" s="1" t="s">
        <v>55</v>
      </c>
      <c r="I537" s="1">
        <v>2385</v>
      </c>
      <c r="J537" s="12">
        <f t="shared" si="16"/>
        <v>45303</v>
      </c>
      <c r="K537" s="14">
        <f t="shared" si="17"/>
        <v>1</v>
      </c>
      <c r="L537" s="13"/>
      <c r="M537" s="13"/>
    </row>
    <row r="538" spans="1:13" x14ac:dyDescent="0.25">
      <c r="A538" s="1" t="s">
        <v>1877</v>
      </c>
      <c r="B538" s="1" t="s">
        <v>1878</v>
      </c>
      <c r="C538" s="1" t="s">
        <v>1879</v>
      </c>
      <c r="D538" s="1" t="s">
        <v>20</v>
      </c>
      <c r="E538" s="1" t="s">
        <v>1880</v>
      </c>
      <c r="F538" s="1" t="s">
        <v>40</v>
      </c>
      <c r="G538" s="1" t="s">
        <v>15</v>
      </c>
      <c r="H538" s="1" t="s">
        <v>16</v>
      </c>
      <c r="I538" s="1">
        <v>0</v>
      </c>
      <c r="J538" s="12">
        <f t="shared" si="16"/>
        <v>45322</v>
      </c>
      <c r="K538" s="14">
        <f t="shared" si="17"/>
        <v>1</v>
      </c>
      <c r="L538" s="13"/>
      <c r="M538" s="13"/>
    </row>
    <row r="539" spans="1:13" x14ac:dyDescent="0.25">
      <c r="A539" s="1" t="s">
        <v>9</v>
      </c>
      <c r="B539" s="1" t="s">
        <v>1881</v>
      </c>
      <c r="C539" s="1" t="s">
        <v>1882</v>
      </c>
      <c r="D539" s="1" t="s">
        <v>20</v>
      </c>
      <c r="E539" s="1" t="s">
        <v>1883</v>
      </c>
      <c r="F539" s="1" t="s">
        <v>22</v>
      </c>
      <c r="G539" s="1" t="s">
        <v>35</v>
      </c>
      <c r="H539" s="1" t="s">
        <v>24</v>
      </c>
      <c r="I539" s="1">
        <v>0</v>
      </c>
      <c r="J539" s="12">
        <f t="shared" si="16"/>
        <v>45324</v>
      </c>
      <c r="K539" s="14">
        <f t="shared" si="17"/>
        <v>2</v>
      </c>
      <c r="L539" s="13"/>
      <c r="M539" s="13"/>
    </row>
    <row r="540" spans="1:13" x14ac:dyDescent="0.25">
      <c r="A540" s="1" t="s">
        <v>1884</v>
      </c>
      <c r="B540" s="1" t="s">
        <v>1885</v>
      </c>
      <c r="C540" s="1" t="s">
        <v>1886</v>
      </c>
      <c r="D540" s="1" t="s">
        <v>20</v>
      </c>
      <c r="E540" s="1" t="s">
        <v>1324</v>
      </c>
      <c r="F540" s="1" t="s">
        <v>29</v>
      </c>
      <c r="G540" s="1" t="s">
        <v>35</v>
      </c>
      <c r="H540" s="1" t="s">
        <v>41</v>
      </c>
      <c r="I540" s="1">
        <v>0</v>
      </c>
      <c r="J540" s="12">
        <f t="shared" si="16"/>
        <v>45297</v>
      </c>
      <c r="K540" s="14">
        <f t="shared" si="17"/>
        <v>1</v>
      </c>
      <c r="L540" s="13"/>
      <c r="M540" s="13"/>
    </row>
    <row r="541" spans="1:13" x14ac:dyDescent="0.25">
      <c r="A541" s="1" t="s">
        <v>1492</v>
      </c>
      <c r="B541" s="1" t="s">
        <v>1887</v>
      </c>
      <c r="C541" s="1" t="s">
        <v>1888</v>
      </c>
      <c r="D541" s="1" t="s">
        <v>20</v>
      </c>
      <c r="E541" s="1" t="s">
        <v>1889</v>
      </c>
      <c r="F541" s="1" t="s">
        <v>22</v>
      </c>
      <c r="G541" s="1" t="s">
        <v>35</v>
      </c>
      <c r="H541" s="1" t="s">
        <v>55</v>
      </c>
      <c r="I541" s="1">
        <v>0</v>
      </c>
      <c r="J541" s="12">
        <f t="shared" si="16"/>
        <v>45293</v>
      </c>
      <c r="K541" s="14">
        <f t="shared" si="17"/>
        <v>1</v>
      </c>
      <c r="L541" s="13"/>
      <c r="M541" s="13"/>
    </row>
    <row r="542" spans="1:13" x14ac:dyDescent="0.25">
      <c r="A542" s="1" t="s">
        <v>546</v>
      </c>
      <c r="B542" s="1" t="s">
        <v>1890</v>
      </c>
      <c r="C542" s="1" t="s">
        <v>1891</v>
      </c>
      <c r="D542" s="1" t="s">
        <v>12</v>
      </c>
      <c r="E542" s="1" t="s">
        <v>1726</v>
      </c>
      <c r="F542" s="1" t="s">
        <v>22</v>
      </c>
      <c r="G542" s="1" t="s">
        <v>23</v>
      </c>
      <c r="H542" s="1" t="s">
        <v>16</v>
      </c>
      <c r="I542" s="1">
        <v>0</v>
      </c>
      <c r="J542" s="12">
        <f t="shared" si="16"/>
        <v>45317</v>
      </c>
      <c r="K542" s="14">
        <f t="shared" si="17"/>
        <v>1</v>
      </c>
      <c r="L542" s="13"/>
      <c r="M542" s="13"/>
    </row>
    <row r="543" spans="1:13" x14ac:dyDescent="0.25">
      <c r="A543" s="1" t="s">
        <v>1892</v>
      </c>
      <c r="B543" s="1" t="s">
        <v>1893</v>
      </c>
      <c r="C543" s="1" t="s">
        <v>1894</v>
      </c>
      <c r="D543" s="1" t="s">
        <v>12</v>
      </c>
      <c r="E543" s="1" t="s">
        <v>1895</v>
      </c>
      <c r="F543" s="1" t="s">
        <v>29</v>
      </c>
      <c r="G543" s="1" t="s">
        <v>35</v>
      </c>
      <c r="H543" s="1" t="s">
        <v>16</v>
      </c>
      <c r="I543" s="1">
        <v>0</v>
      </c>
      <c r="J543" s="12">
        <f t="shared" si="16"/>
        <v>45325</v>
      </c>
      <c r="K543" s="14">
        <f t="shared" si="17"/>
        <v>2</v>
      </c>
      <c r="L543" s="13"/>
      <c r="M543" s="13"/>
    </row>
    <row r="544" spans="1:13" x14ac:dyDescent="0.25">
      <c r="A544" s="1" t="s">
        <v>1802</v>
      </c>
      <c r="B544" s="1" t="s">
        <v>1896</v>
      </c>
      <c r="C544" s="1" t="s">
        <v>1897</v>
      </c>
      <c r="D544" s="1" t="s">
        <v>20</v>
      </c>
      <c r="E544" s="1" t="s">
        <v>1898</v>
      </c>
      <c r="F544" s="1" t="s">
        <v>40</v>
      </c>
      <c r="G544" s="1" t="s">
        <v>23</v>
      </c>
      <c r="H544" s="1" t="s">
        <v>55</v>
      </c>
      <c r="I544" s="1">
        <v>0</v>
      </c>
      <c r="J544" s="12">
        <f t="shared" si="16"/>
        <v>45309</v>
      </c>
      <c r="K544" s="14">
        <f t="shared" si="17"/>
        <v>1</v>
      </c>
      <c r="L544" s="13"/>
      <c r="M544" s="13"/>
    </row>
    <row r="545" spans="1:13" x14ac:dyDescent="0.25">
      <c r="A545" s="1" t="s">
        <v>904</v>
      </c>
      <c r="B545" s="1" t="s">
        <v>1899</v>
      </c>
      <c r="C545" s="1" t="s">
        <v>1900</v>
      </c>
      <c r="D545" s="1" t="s">
        <v>20</v>
      </c>
      <c r="E545" s="1" t="s">
        <v>937</v>
      </c>
      <c r="F545" s="1" t="s">
        <v>75</v>
      </c>
      <c r="G545" s="1" t="s">
        <v>35</v>
      </c>
      <c r="H545" s="1" t="s">
        <v>30</v>
      </c>
      <c r="I545" s="1">
        <v>0</v>
      </c>
      <c r="J545" s="12">
        <f t="shared" si="16"/>
        <v>45294</v>
      </c>
      <c r="K545" s="14">
        <f t="shared" si="17"/>
        <v>1</v>
      </c>
      <c r="L545" s="13"/>
      <c r="M545" s="13"/>
    </row>
    <row r="546" spans="1:13" x14ac:dyDescent="0.25">
      <c r="A546" s="1" t="s">
        <v>100</v>
      </c>
      <c r="B546" s="1" t="s">
        <v>1901</v>
      </c>
      <c r="C546" s="1" t="s">
        <v>1902</v>
      </c>
      <c r="D546" s="1" t="s">
        <v>45</v>
      </c>
      <c r="E546" s="1" t="s">
        <v>1582</v>
      </c>
      <c r="F546" s="1" t="s">
        <v>75</v>
      </c>
      <c r="G546" s="1" t="s">
        <v>23</v>
      </c>
      <c r="H546" s="1" t="s">
        <v>16</v>
      </c>
      <c r="I546" s="1">
        <v>3714</v>
      </c>
      <c r="J546" s="12">
        <f t="shared" si="16"/>
        <v>45298</v>
      </c>
      <c r="K546" s="14">
        <f t="shared" si="17"/>
        <v>1</v>
      </c>
      <c r="L546" s="13"/>
      <c r="M546" s="13"/>
    </row>
    <row r="547" spans="1:13" x14ac:dyDescent="0.25">
      <c r="A547" s="1" t="s">
        <v>1903</v>
      </c>
      <c r="B547" s="1" t="s">
        <v>1904</v>
      </c>
      <c r="C547" s="1" t="s">
        <v>1905</v>
      </c>
      <c r="D547" s="1" t="s">
        <v>12</v>
      </c>
      <c r="E547" s="1" t="s">
        <v>1906</v>
      </c>
      <c r="F547" s="1" t="s">
        <v>40</v>
      </c>
      <c r="G547" s="1" t="s">
        <v>23</v>
      </c>
      <c r="H547" s="1" t="s">
        <v>30</v>
      </c>
      <c r="I547" s="1">
        <v>0</v>
      </c>
      <c r="J547" s="12">
        <f t="shared" si="16"/>
        <v>45322</v>
      </c>
      <c r="K547" s="14">
        <f t="shared" si="17"/>
        <v>1</v>
      </c>
      <c r="L547" s="13"/>
      <c r="M547" s="13"/>
    </row>
    <row r="548" spans="1:13" x14ac:dyDescent="0.25">
      <c r="A548" s="1" t="s">
        <v>1907</v>
      </c>
      <c r="B548" s="1" t="s">
        <v>1908</v>
      </c>
      <c r="C548" s="1" t="s">
        <v>1909</v>
      </c>
      <c r="D548" s="1" t="s">
        <v>45</v>
      </c>
      <c r="E548" s="1" t="s">
        <v>1910</v>
      </c>
      <c r="F548" s="1" t="s">
        <v>75</v>
      </c>
      <c r="G548" s="1" t="s">
        <v>23</v>
      </c>
      <c r="H548" s="1" t="s">
        <v>55</v>
      </c>
      <c r="I548" s="1">
        <v>2908</v>
      </c>
      <c r="J548" s="12">
        <f t="shared" si="16"/>
        <v>45323</v>
      </c>
      <c r="K548" s="14">
        <f t="shared" si="17"/>
        <v>2</v>
      </c>
      <c r="L548" s="13"/>
      <c r="M548" s="13"/>
    </row>
    <row r="549" spans="1:13" x14ac:dyDescent="0.25">
      <c r="A549" s="1" t="s">
        <v>1911</v>
      </c>
      <c r="B549" s="1" t="s">
        <v>1912</v>
      </c>
      <c r="C549" s="1" t="s">
        <v>1913</v>
      </c>
      <c r="D549" s="1" t="s">
        <v>45</v>
      </c>
      <c r="E549" s="1" t="s">
        <v>1702</v>
      </c>
      <c r="F549" s="1" t="s">
        <v>75</v>
      </c>
      <c r="G549" s="1" t="s">
        <v>23</v>
      </c>
      <c r="H549" s="1" t="s">
        <v>41</v>
      </c>
      <c r="I549" s="1">
        <v>4647</v>
      </c>
      <c r="J549" s="12">
        <f t="shared" si="16"/>
        <v>45294</v>
      </c>
      <c r="K549" s="14">
        <f t="shared" si="17"/>
        <v>1</v>
      </c>
      <c r="L549" s="13"/>
      <c r="M549" s="13"/>
    </row>
    <row r="550" spans="1:13" x14ac:dyDescent="0.25">
      <c r="A550" s="1" t="s">
        <v>1416</v>
      </c>
      <c r="B550" s="1" t="s">
        <v>1914</v>
      </c>
      <c r="C550" s="1" t="s">
        <v>1915</v>
      </c>
      <c r="D550" s="1" t="s">
        <v>12</v>
      </c>
      <c r="E550" s="1" t="s">
        <v>1916</v>
      </c>
      <c r="F550" s="1" t="s">
        <v>40</v>
      </c>
      <c r="G550" s="1" t="s">
        <v>23</v>
      </c>
      <c r="H550" s="1" t="s">
        <v>30</v>
      </c>
      <c r="I550" s="1">
        <v>0</v>
      </c>
      <c r="J550" s="12">
        <f t="shared" si="16"/>
        <v>45292</v>
      </c>
      <c r="K550" s="14">
        <f t="shared" si="17"/>
        <v>1</v>
      </c>
      <c r="L550" s="13"/>
      <c r="M550" s="13"/>
    </row>
    <row r="551" spans="1:13" x14ac:dyDescent="0.25">
      <c r="A551" s="1" t="s">
        <v>1279</v>
      </c>
      <c r="B551" s="1" t="s">
        <v>1917</v>
      </c>
      <c r="C551" s="1" t="s">
        <v>1918</v>
      </c>
      <c r="D551" s="1" t="s">
        <v>45</v>
      </c>
      <c r="E551" s="1" t="s">
        <v>1919</v>
      </c>
      <c r="F551" s="1" t="s">
        <v>14</v>
      </c>
      <c r="G551" s="1" t="s">
        <v>23</v>
      </c>
      <c r="H551" s="1" t="s">
        <v>16</v>
      </c>
      <c r="I551" s="1">
        <v>304</v>
      </c>
      <c r="J551" s="12">
        <f t="shared" si="16"/>
        <v>45302</v>
      </c>
      <c r="K551" s="14">
        <f t="shared" si="17"/>
        <v>1</v>
      </c>
      <c r="L551" s="13"/>
      <c r="M551" s="13"/>
    </row>
    <row r="552" spans="1:13" x14ac:dyDescent="0.25">
      <c r="A552" s="1" t="s">
        <v>1349</v>
      </c>
      <c r="B552" s="1" t="s">
        <v>1920</v>
      </c>
      <c r="C552" s="1" t="s">
        <v>1921</v>
      </c>
      <c r="D552" s="1" t="s">
        <v>12</v>
      </c>
      <c r="E552" s="1" t="s">
        <v>708</v>
      </c>
      <c r="F552" s="1" t="s">
        <v>75</v>
      </c>
      <c r="G552" s="1" t="s">
        <v>15</v>
      </c>
      <c r="H552" s="1" t="s">
        <v>16</v>
      </c>
      <c r="I552" s="1">
        <v>0</v>
      </c>
      <c r="J552" s="12">
        <f t="shared" si="16"/>
        <v>45308</v>
      </c>
      <c r="K552" s="14">
        <f t="shared" si="17"/>
        <v>1</v>
      </c>
      <c r="L552" s="13"/>
      <c r="M552" s="13"/>
    </row>
    <row r="553" spans="1:13" x14ac:dyDescent="0.25">
      <c r="A553" s="1" t="s">
        <v>474</v>
      </c>
      <c r="B553" s="1" t="s">
        <v>1922</v>
      </c>
      <c r="C553" s="1" t="s">
        <v>1923</v>
      </c>
      <c r="D553" s="1" t="s">
        <v>20</v>
      </c>
      <c r="E553" s="1" t="s">
        <v>1924</v>
      </c>
      <c r="F553" s="1" t="s">
        <v>29</v>
      </c>
      <c r="G553" s="1" t="s">
        <v>15</v>
      </c>
      <c r="H553" s="1" t="s">
        <v>41</v>
      </c>
      <c r="I553" s="1">
        <v>0</v>
      </c>
      <c r="J553" s="12">
        <f t="shared" si="16"/>
        <v>45303</v>
      </c>
      <c r="K553" s="14">
        <f t="shared" si="17"/>
        <v>1</v>
      </c>
      <c r="L553" s="13"/>
      <c r="M553" s="13"/>
    </row>
    <row r="554" spans="1:13" x14ac:dyDescent="0.25">
      <c r="A554" s="1" t="s">
        <v>1925</v>
      </c>
      <c r="B554" s="1" t="s">
        <v>1926</v>
      </c>
      <c r="C554" s="1" t="s">
        <v>1927</v>
      </c>
      <c r="D554" s="1" t="s">
        <v>45</v>
      </c>
      <c r="E554" s="1" t="s">
        <v>111</v>
      </c>
      <c r="F554" s="1" t="s">
        <v>75</v>
      </c>
      <c r="G554" s="1" t="s">
        <v>23</v>
      </c>
      <c r="H554" s="1" t="s">
        <v>41</v>
      </c>
      <c r="I554" s="1">
        <v>4271</v>
      </c>
      <c r="J554" s="12">
        <f t="shared" si="16"/>
        <v>45308</v>
      </c>
      <c r="K554" s="14">
        <f t="shared" si="17"/>
        <v>1</v>
      </c>
      <c r="L554" s="13"/>
      <c r="M554" s="13"/>
    </row>
    <row r="555" spans="1:13" x14ac:dyDescent="0.25">
      <c r="A555" s="1" t="s">
        <v>362</v>
      </c>
      <c r="B555" s="1" t="s">
        <v>1928</v>
      </c>
      <c r="C555" s="1" t="s">
        <v>1929</v>
      </c>
      <c r="D555" s="1" t="s">
        <v>20</v>
      </c>
      <c r="E555" s="1" t="s">
        <v>1930</v>
      </c>
      <c r="F555" s="1" t="s">
        <v>22</v>
      </c>
      <c r="G555" s="1" t="s">
        <v>23</v>
      </c>
      <c r="H555" s="1" t="s">
        <v>16</v>
      </c>
      <c r="I555" s="1">
        <v>0</v>
      </c>
      <c r="J555" s="12">
        <f t="shared" si="16"/>
        <v>45295</v>
      </c>
      <c r="K555" s="14">
        <f t="shared" si="17"/>
        <v>1</v>
      </c>
      <c r="L555" s="13"/>
      <c r="M555" s="13"/>
    </row>
    <row r="556" spans="1:13" x14ac:dyDescent="0.25">
      <c r="A556" s="1" t="s">
        <v>1931</v>
      </c>
      <c r="B556" s="1" t="s">
        <v>1932</v>
      </c>
      <c r="C556" s="1" t="s">
        <v>1933</v>
      </c>
      <c r="D556" s="1" t="s">
        <v>45</v>
      </c>
      <c r="E556" s="1" t="s">
        <v>685</v>
      </c>
      <c r="F556" s="1" t="s">
        <v>14</v>
      </c>
      <c r="G556" s="1" t="s">
        <v>15</v>
      </c>
      <c r="H556" s="1" t="s">
        <v>30</v>
      </c>
      <c r="I556" s="1">
        <v>2480</v>
      </c>
      <c r="J556" s="12">
        <f t="shared" si="16"/>
        <v>45322</v>
      </c>
      <c r="K556" s="14">
        <f t="shared" si="17"/>
        <v>1</v>
      </c>
      <c r="L556" s="13"/>
      <c r="M556" s="13"/>
    </row>
    <row r="557" spans="1:13" x14ac:dyDescent="0.25">
      <c r="A557" s="1" t="s">
        <v>1934</v>
      </c>
      <c r="B557" s="1" t="s">
        <v>1935</v>
      </c>
      <c r="C557" s="1" t="s">
        <v>1936</v>
      </c>
      <c r="D557" s="1" t="s">
        <v>12</v>
      </c>
      <c r="E557" s="1" t="s">
        <v>708</v>
      </c>
      <c r="F557" s="1" t="s">
        <v>14</v>
      </c>
      <c r="G557" s="1" t="s">
        <v>15</v>
      </c>
      <c r="H557" s="1" t="s">
        <v>55</v>
      </c>
      <c r="I557" s="1">
        <v>0</v>
      </c>
      <c r="J557" s="12">
        <f t="shared" si="16"/>
        <v>45300</v>
      </c>
      <c r="K557" s="14">
        <f t="shared" si="17"/>
        <v>1</v>
      </c>
      <c r="L557" s="13"/>
      <c r="M557" s="13"/>
    </row>
    <row r="558" spans="1:13" x14ac:dyDescent="0.25">
      <c r="A558" s="1" t="s">
        <v>315</v>
      </c>
      <c r="B558" s="1" t="s">
        <v>1937</v>
      </c>
      <c r="C558" s="1" t="s">
        <v>1938</v>
      </c>
      <c r="D558" s="1" t="s">
        <v>12</v>
      </c>
      <c r="E558" s="1" t="s">
        <v>1427</v>
      </c>
      <c r="F558" s="1" t="s">
        <v>40</v>
      </c>
      <c r="G558" s="1" t="s">
        <v>35</v>
      </c>
      <c r="H558" s="1" t="s">
        <v>41</v>
      </c>
      <c r="I558" s="1">
        <v>0</v>
      </c>
      <c r="J558" s="12">
        <f t="shared" si="16"/>
        <v>45293</v>
      </c>
      <c r="K558" s="14">
        <f t="shared" si="17"/>
        <v>1</v>
      </c>
      <c r="L558" s="13"/>
      <c r="M558" s="13"/>
    </row>
    <row r="559" spans="1:13" x14ac:dyDescent="0.25">
      <c r="A559" s="1" t="s">
        <v>1567</v>
      </c>
      <c r="B559" s="1" t="s">
        <v>1939</v>
      </c>
      <c r="C559" s="1" t="s">
        <v>1940</v>
      </c>
      <c r="D559" s="1" t="s">
        <v>12</v>
      </c>
      <c r="E559" s="1" t="s">
        <v>1941</v>
      </c>
      <c r="F559" s="1" t="s">
        <v>29</v>
      </c>
      <c r="G559" s="1" t="s">
        <v>35</v>
      </c>
      <c r="H559" s="1" t="s">
        <v>55</v>
      </c>
      <c r="I559" s="1">
        <v>0</v>
      </c>
      <c r="J559" s="12">
        <f t="shared" si="16"/>
        <v>45320</v>
      </c>
      <c r="K559" s="14">
        <f t="shared" si="17"/>
        <v>1</v>
      </c>
      <c r="L559" s="13"/>
      <c r="M559" s="13"/>
    </row>
    <row r="560" spans="1:13" x14ac:dyDescent="0.25">
      <c r="A560" s="1" t="s">
        <v>440</v>
      </c>
      <c r="B560" s="1" t="s">
        <v>1942</v>
      </c>
      <c r="C560" s="1" t="s">
        <v>1943</v>
      </c>
      <c r="D560" s="1" t="s">
        <v>12</v>
      </c>
      <c r="E560" s="1" t="s">
        <v>1944</v>
      </c>
      <c r="F560" s="1" t="s">
        <v>75</v>
      </c>
      <c r="G560" s="1" t="s">
        <v>35</v>
      </c>
      <c r="H560" s="1" t="s">
        <v>41</v>
      </c>
      <c r="I560" s="1">
        <v>0</v>
      </c>
      <c r="J560" s="12">
        <f t="shared" si="16"/>
        <v>45306</v>
      </c>
      <c r="K560" s="14">
        <f t="shared" si="17"/>
        <v>1</v>
      </c>
      <c r="L560" s="13"/>
      <c r="M560" s="13"/>
    </row>
    <row r="561" spans="1:13" x14ac:dyDescent="0.25">
      <c r="A561" s="1" t="s">
        <v>680</v>
      </c>
      <c r="B561" s="1" t="s">
        <v>1945</v>
      </c>
      <c r="C561" s="1" t="s">
        <v>1946</v>
      </c>
      <c r="D561" s="1" t="s">
        <v>20</v>
      </c>
      <c r="E561" s="1" t="s">
        <v>1947</v>
      </c>
      <c r="F561" s="1" t="s">
        <v>14</v>
      </c>
      <c r="G561" s="1" t="s">
        <v>15</v>
      </c>
      <c r="H561" s="1" t="s">
        <v>55</v>
      </c>
      <c r="I561" s="1">
        <v>0</v>
      </c>
      <c r="J561" s="12">
        <f t="shared" si="16"/>
        <v>45318</v>
      </c>
      <c r="K561" s="14">
        <f t="shared" si="17"/>
        <v>1</v>
      </c>
      <c r="L561" s="13"/>
      <c r="M561" s="13"/>
    </row>
    <row r="562" spans="1:13" x14ac:dyDescent="0.25">
      <c r="A562" s="1" t="s">
        <v>1948</v>
      </c>
      <c r="B562" s="1" t="s">
        <v>1949</v>
      </c>
      <c r="C562" s="1" t="s">
        <v>1950</v>
      </c>
      <c r="D562" s="1" t="s">
        <v>20</v>
      </c>
      <c r="E562" s="1" t="s">
        <v>1245</v>
      </c>
      <c r="F562" s="1" t="s">
        <v>75</v>
      </c>
      <c r="G562" s="1" t="s">
        <v>35</v>
      </c>
      <c r="H562" s="1" t="s">
        <v>16</v>
      </c>
      <c r="I562" s="1">
        <v>0</v>
      </c>
      <c r="J562" s="12">
        <f t="shared" si="16"/>
        <v>45318</v>
      </c>
      <c r="K562" s="14">
        <f t="shared" si="17"/>
        <v>1</v>
      </c>
      <c r="L562" s="13"/>
      <c r="M562" s="13"/>
    </row>
    <row r="563" spans="1:13" x14ac:dyDescent="0.25">
      <c r="A563" s="1" t="s">
        <v>954</v>
      </c>
      <c r="B563" s="1" t="s">
        <v>1951</v>
      </c>
      <c r="C563" s="1" t="s">
        <v>1952</v>
      </c>
      <c r="D563" s="1" t="s">
        <v>20</v>
      </c>
      <c r="E563" s="1" t="s">
        <v>436</v>
      </c>
      <c r="F563" s="1" t="s">
        <v>40</v>
      </c>
      <c r="G563" s="1" t="s">
        <v>15</v>
      </c>
      <c r="H563" s="1" t="s">
        <v>55</v>
      </c>
      <c r="I563" s="1">
        <v>0</v>
      </c>
      <c r="J563" s="12">
        <f t="shared" si="16"/>
        <v>45322</v>
      </c>
      <c r="K563" s="14">
        <f t="shared" si="17"/>
        <v>1</v>
      </c>
      <c r="L563" s="13"/>
      <c r="M563" s="13"/>
    </row>
    <row r="564" spans="1:13" x14ac:dyDescent="0.25">
      <c r="A564" s="1" t="s">
        <v>670</v>
      </c>
      <c r="B564" s="1" t="s">
        <v>1953</v>
      </c>
      <c r="C564" s="1" t="s">
        <v>1954</v>
      </c>
      <c r="D564" s="1" t="s">
        <v>45</v>
      </c>
      <c r="E564" s="1" t="s">
        <v>1955</v>
      </c>
      <c r="F564" s="1" t="s">
        <v>40</v>
      </c>
      <c r="G564" s="1" t="s">
        <v>35</v>
      </c>
      <c r="H564" s="1" t="s">
        <v>24</v>
      </c>
      <c r="I564" s="1">
        <v>3761</v>
      </c>
      <c r="J564" s="12">
        <f t="shared" si="16"/>
        <v>45315</v>
      </c>
      <c r="K564" s="14">
        <f t="shared" si="17"/>
        <v>1</v>
      </c>
      <c r="L564" s="13"/>
      <c r="M564" s="13"/>
    </row>
    <row r="565" spans="1:13" x14ac:dyDescent="0.25">
      <c r="A565" s="1" t="s">
        <v>1956</v>
      </c>
      <c r="B565" s="1" t="s">
        <v>1957</v>
      </c>
      <c r="C565" s="1" t="s">
        <v>1958</v>
      </c>
      <c r="D565" s="1" t="s">
        <v>12</v>
      </c>
      <c r="E565" s="1" t="s">
        <v>1959</v>
      </c>
      <c r="F565" s="1" t="s">
        <v>40</v>
      </c>
      <c r="G565" s="1" t="s">
        <v>23</v>
      </c>
      <c r="H565" s="1" t="s">
        <v>16</v>
      </c>
      <c r="I565" s="1">
        <v>0</v>
      </c>
      <c r="J565" s="12">
        <f t="shared" si="16"/>
        <v>45304</v>
      </c>
      <c r="K565" s="14">
        <f t="shared" si="17"/>
        <v>1</v>
      </c>
      <c r="L565" s="13"/>
      <c r="M565" s="13"/>
    </row>
    <row r="566" spans="1:13" x14ac:dyDescent="0.25">
      <c r="A566" s="1" t="s">
        <v>1960</v>
      </c>
      <c r="B566" s="1" t="s">
        <v>1953</v>
      </c>
      <c r="C566" s="1" t="s">
        <v>1961</v>
      </c>
      <c r="D566" s="1" t="s">
        <v>12</v>
      </c>
      <c r="E566" s="1" t="s">
        <v>1962</v>
      </c>
      <c r="F566" s="1" t="s">
        <v>29</v>
      </c>
      <c r="G566" s="1" t="s">
        <v>35</v>
      </c>
      <c r="H566" s="1" t="s">
        <v>30</v>
      </c>
      <c r="I566" s="1">
        <v>0</v>
      </c>
      <c r="J566" s="12">
        <f t="shared" si="16"/>
        <v>45313</v>
      </c>
      <c r="K566" s="14">
        <f t="shared" si="17"/>
        <v>1</v>
      </c>
      <c r="L566" s="13"/>
      <c r="M566" s="13"/>
    </row>
    <row r="567" spans="1:13" x14ac:dyDescent="0.25">
      <c r="A567" s="1" t="s">
        <v>911</v>
      </c>
      <c r="B567" s="1" t="s">
        <v>1963</v>
      </c>
      <c r="C567" s="1" t="s">
        <v>1964</v>
      </c>
      <c r="D567" s="1" t="s">
        <v>12</v>
      </c>
      <c r="E567" s="1" t="s">
        <v>1348</v>
      </c>
      <c r="F567" s="1" t="s">
        <v>14</v>
      </c>
      <c r="G567" s="1" t="s">
        <v>23</v>
      </c>
      <c r="H567" s="1" t="s">
        <v>24</v>
      </c>
      <c r="I567" s="1">
        <v>0</v>
      </c>
      <c r="J567" s="12">
        <f t="shared" si="16"/>
        <v>45305</v>
      </c>
      <c r="K567" s="14">
        <f t="shared" si="17"/>
        <v>1</v>
      </c>
      <c r="L567" s="13"/>
      <c r="M567" s="13"/>
    </row>
    <row r="568" spans="1:13" x14ac:dyDescent="0.25">
      <c r="A568" s="1" t="s">
        <v>1965</v>
      </c>
      <c r="B568" s="1" t="s">
        <v>1966</v>
      </c>
      <c r="C568" s="1" t="s">
        <v>1967</v>
      </c>
      <c r="D568" s="1" t="s">
        <v>12</v>
      </c>
      <c r="E568" s="1" t="s">
        <v>1968</v>
      </c>
      <c r="F568" s="1" t="s">
        <v>14</v>
      </c>
      <c r="G568" s="1" t="s">
        <v>15</v>
      </c>
      <c r="H568" s="1" t="s">
        <v>24</v>
      </c>
      <c r="I568" s="1">
        <v>0</v>
      </c>
      <c r="J568" s="12">
        <f t="shared" si="16"/>
        <v>45309</v>
      </c>
      <c r="K568" s="14">
        <f t="shared" si="17"/>
        <v>1</v>
      </c>
      <c r="L568" s="13"/>
      <c r="M568" s="13"/>
    </row>
    <row r="569" spans="1:13" x14ac:dyDescent="0.25">
      <c r="A569" s="1" t="s">
        <v>1969</v>
      </c>
      <c r="B569" s="1" t="s">
        <v>1970</v>
      </c>
      <c r="C569" s="1" t="s">
        <v>1971</v>
      </c>
      <c r="D569" s="1" t="s">
        <v>45</v>
      </c>
      <c r="E569" s="1" t="s">
        <v>1972</v>
      </c>
      <c r="F569" s="1" t="s">
        <v>22</v>
      </c>
      <c r="G569" s="1" t="s">
        <v>23</v>
      </c>
      <c r="H569" s="1" t="s">
        <v>16</v>
      </c>
      <c r="I569" s="1">
        <v>4062</v>
      </c>
      <c r="J569" s="12">
        <f t="shared" si="16"/>
        <v>45313</v>
      </c>
      <c r="K569" s="14">
        <f t="shared" si="17"/>
        <v>1</v>
      </c>
      <c r="L569" s="13"/>
      <c r="M569" s="13"/>
    </row>
    <row r="570" spans="1:13" x14ac:dyDescent="0.25">
      <c r="A570" s="1" t="s">
        <v>1973</v>
      </c>
      <c r="B570" s="1" t="s">
        <v>1974</v>
      </c>
      <c r="C570" s="1" t="s">
        <v>1975</v>
      </c>
      <c r="D570" s="1" t="s">
        <v>20</v>
      </c>
      <c r="E570" s="1" t="s">
        <v>1976</v>
      </c>
      <c r="F570" s="1" t="s">
        <v>40</v>
      </c>
      <c r="G570" s="1" t="s">
        <v>35</v>
      </c>
      <c r="H570" s="1" t="s">
        <v>55</v>
      </c>
      <c r="I570" s="1">
        <v>0</v>
      </c>
      <c r="J570" s="12">
        <f t="shared" si="16"/>
        <v>45325</v>
      </c>
      <c r="K570" s="14">
        <f t="shared" si="17"/>
        <v>2</v>
      </c>
      <c r="L570" s="13"/>
      <c r="M570" s="13"/>
    </row>
    <row r="571" spans="1:13" x14ac:dyDescent="0.25">
      <c r="A571" s="1" t="s">
        <v>400</v>
      </c>
      <c r="B571" s="1" t="s">
        <v>1977</v>
      </c>
      <c r="C571" s="1" t="s">
        <v>1978</v>
      </c>
      <c r="D571" s="1" t="s">
        <v>20</v>
      </c>
      <c r="E571" s="1" t="s">
        <v>1979</v>
      </c>
      <c r="F571" s="1" t="s">
        <v>75</v>
      </c>
      <c r="G571" s="1" t="s">
        <v>15</v>
      </c>
      <c r="H571" s="1" t="s">
        <v>24</v>
      </c>
      <c r="I571" s="1">
        <v>0</v>
      </c>
      <c r="J571" s="12">
        <f t="shared" si="16"/>
        <v>45318</v>
      </c>
      <c r="K571" s="14">
        <f t="shared" si="17"/>
        <v>1</v>
      </c>
      <c r="L571" s="13"/>
      <c r="M571" s="13"/>
    </row>
    <row r="572" spans="1:13" x14ac:dyDescent="0.25">
      <c r="A572" s="1" t="s">
        <v>1980</v>
      </c>
      <c r="B572" s="1" t="s">
        <v>897</v>
      </c>
      <c r="C572" s="1" t="s">
        <v>1981</v>
      </c>
      <c r="D572" s="1" t="s">
        <v>20</v>
      </c>
      <c r="E572" s="1" t="s">
        <v>769</v>
      </c>
      <c r="F572" s="1" t="s">
        <v>22</v>
      </c>
      <c r="G572" s="1" t="s">
        <v>15</v>
      </c>
      <c r="H572" s="1" t="s">
        <v>30</v>
      </c>
      <c r="I572" s="1">
        <v>0</v>
      </c>
      <c r="J572" s="12">
        <f t="shared" si="16"/>
        <v>45297</v>
      </c>
      <c r="K572" s="14">
        <f t="shared" si="17"/>
        <v>1</v>
      </c>
      <c r="L572" s="13"/>
      <c r="M572" s="13"/>
    </row>
    <row r="573" spans="1:13" x14ac:dyDescent="0.25">
      <c r="A573" s="1" t="s">
        <v>1982</v>
      </c>
      <c r="B573" s="1" t="s">
        <v>1983</v>
      </c>
      <c r="C573" s="1" t="s">
        <v>1510</v>
      </c>
      <c r="D573" s="1" t="s">
        <v>12</v>
      </c>
      <c r="E573" s="1" t="s">
        <v>1339</v>
      </c>
      <c r="F573" s="1" t="s">
        <v>22</v>
      </c>
      <c r="G573" s="1" t="s">
        <v>15</v>
      </c>
      <c r="H573" s="1" t="s">
        <v>55</v>
      </c>
      <c r="I573" s="1">
        <v>0</v>
      </c>
      <c r="J573" s="12">
        <f t="shared" si="16"/>
        <v>45325</v>
      </c>
      <c r="K573" s="14">
        <f t="shared" si="17"/>
        <v>2</v>
      </c>
      <c r="L573" s="13"/>
      <c r="M573" s="13"/>
    </row>
    <row r="574" spans="1:13" x14ac:dyDescent="0.25">
      <c r="A574" s="1" t="s">
        <v>1984</v>
      </c>
      <c r="B574" s="1" t="s">
        <v>1985</v>
      </c>
      <c r="C574" s="1" t="s">
        <v>1986</v>
      </c>
      <c r="D574" s="1" t="s">
        <v>20</v>
      </c>
      <c r="E574" s="1" t="s">
        <v>1987</v>
      </c>
      <c r="F574" s="1" t="s">
        <v>29</v>
      </c>
      <c r="G574" s="1" t="s">
        <v>15</v>
      </c>
      <c r="H574" s="1" t="s">
        <v>30</v>
      </c>
      <c r="I574" s="1">
        <v>0</v>
      </c>
      <c r="J574" s="12">
        <f t="shared" si="16"/>
        <v>45302</v>
      </c>
      <c r="K574" s="14">
        <f t="shared" si="17"/>
        <v>1</v>
      </c>
      <c r="L574" s="13"/>
      <c r="M574" s="13"/>
    </row>
    <row r="575" spans="1:13" x14ac:dyDescent="0.25">
      <c r="A575" s="1" t="s">
        <v>1129</v>
      </c>
      <c r="B575" s="1" t="s">
        <v>1988</v>
      </c>
      <c r="C575" s="1" t="s">
        <v>1989</v>
      </c>
      <c r="D575" s="1" t="s">
        <v>12</v>
      </c>
      <c r="E575" s="1" t="s">
        <v>1990</v>
      </c>
      <c r="F575" s="1" t="s">
        <v>29</v>
      </c>
      <c r="G575" s="1" t="s">
        <v>15</v>
      </c>
      <c r="H575" s="1" t="s">
        <v>41</v>
      </c>
      <c r="I575" s="1">
        <v>0</v>
      </c>
      <c r="J575" s="12">
        <f t="shared" si="16"/>
        <v>45326</v>
      </c>
      <c r="K575" s="14">
        <f t="shared" si="17"/>
        <v>2</v>
      </c>
      <c r="L575" s="13"/>
      <c r="M575" s="13"/>
    </row>
    <row r="576" spans="1:13" x14ac:dyDescent="0.25">
      <c r="A576" s="1" t="s">
        <v>1991</v>
      </c>
      <c r="B576" s="1" t="s">
        <v>1992</v>
      </c>
      <c r="C576" s="1" t="s">
        <v>1993</v>
      </c>
      <c r="D576" s="1" t="s">
        <v>12</v>
      </c>
      <c r="E576" s="1" t="s">
        <v>1208</v>
      </c>
      <c r="F576" s="1" t="s">
        <v>75</v>
      </c>
      <c r="G576" s="1" t="s">
        <v>35</v>
      </c>
      <c r="H576" s="1" t="s">
        <v>41</v>
      </c>
      <c r="I576" s="1">
        <v>0</v>
      </c>
      <c r="J576" s="12">
        <f t="shared" si="16"/>
        <v>45299</v>
      </c>
      <c r="K576" s="14">
        <f t="shared" si="17"/>
        <v>1</v>
      </c>
      <c r="L576" s="13"/>
      <c r="M576" s="13"/>
    </row>
    <row r="577" spans="1:13" x14ac:dyDescent="0.25">
      <c r="A577" s="1" t="s">
        <v>693</v>
      </c>
      <c r="B577" s="1" t="s">
        <v>1994</v>
      </c>
      <c r="C577" s="1" t="s">
        <v>1995</v>
      </c>
      <c r="D577" s="1" t="s">
        <v>20</v>
      </c>
      <c r="E577" s="1" t="s">
        <v>498</v>
      </c>
      <c r="F577" s="1" t="s">
        <v>29</v>
      </c>
      <c r="G577" s="1" t="s">
        <v>15</v>
      </c>
      <c r="H577" s="1" t="s">
        <v>55</v>
      </c>
      <c r="I577" s="1">
        <v>0</v>
      </c>
      <c r="J577" s="12">
        <f t="shared" si="16"/>
        <v>45321</v>
      </c>
      <c r="K577" s="14">
        <f t="shared" si="17"/>
        <v>1</v>
      </c>
      <c r="L577" s="13"/>
      <c r="M577" s="13"/>
    </row>
    <row r="578" spans="1:13" x14ac:dyDescent="0.25">
      <c r="A578" s="1" t="s">
        <v>1996</v>
      </c>
      <c r="B578" s="1" t="s">
        <v>1997</v>
      </c>
      <c r="C578" s="1" t="s">
        <v>1998</v>
      </c>
      <c r="D578" s="1" t="s">
        <v>45</v>
      </c>
      <c r="E578" s="1" t="s">
        <v>657</v>
      </c>
      <c r="F578" s="1" t="s">
        <v>22</v>
      </c>
      <c r="G578" s="1" t="s">
        <v>35</v>
      </c>
      <c r="H578" s="1" t="s">
        <v>16</v>
      </c>
      <c r="I578" s="1">
        <v>3313</v>
      </c>
      <c r="J578" s="12">
        <f t="shared" si="16"/>
        <v>45295</v>
      </c>
      <c r="K578" s="14">
        <f t="shared" si="17"/>
        <v>1</v>
      </c>
      <c r="L578" s="13"/>
      <c r="M578" s="13"/>
    </row>
    <row r="579" spans="1:13" x14ac:dyDescent="0.25">
      <c r="A579" s="1" t="s">
        <v>1999</v>
      </c>
      <c r="B579" s="1" t="s">
        <v>2000</v>
      </c>
      <c r="C579" s="1" t="s">
        <v>2001</v>
      </c>
      <c r="D579" s="1" t="s">
        <v>20</v>
      </c>
      <c r="E579" s="1" t="s">
        <v>407</v>
      </c>
      <c r="F579" s="1" t="s">
        <v>40</v>
      </c>
      <c r="G579" s="1" t="s">
        <v>35</v>
      </c>
      <c r="H579" s="1" t="s">
        <v>24</v>
      </c>
      <c r="I579" s="1">
        <v>0</v>
      </c>
      <c r="J579" s="12">
        <f t="shared" si="16"/>
        <v>45301</v>
      </c>
      <c r="K579" s="14">
        <f t="shared" si="17"/>
        <v>1</v>
      </c>
      <c r="L579" s="13"/>
      <c r="M579" s="13"/>
    </row>
    <row r="580" spans="1:13" x14ac:dyDescent="0.25">
      <c r="A580" s="1" t="s">
        <v>2002</v>
      </c>
      <c r="B580" s="1" t="s">
        <v>2003</v>
      </c>
      <c r="C580" s="1" t="s">
        <v>2004</v>
      </c>
      <c r="D580" s="1" t="s">
        <v>12</v>
      </c>
      <c r="E580" s="1" t="s">
        <v>2005</v>
      </c>
      <c r="F580" s="1" t="s">
        <v>14</v>
      </c>
      <c r="G580" s="1" t="s">
        <v>23</v>
      </c>
      <c r="H580" s="1" t="s">
        <v>55</v>
      </c>
      <c r="I580" s="1">
        <v>0</v>
      </c>
      <c r="J580" s="12">
        <f t="shared" ref="J580:J643" si="18">INT(C580)</f>
        <v>45300</v>
      </c>
      <c r="K580" s="14">
        <f t="shared" ref="K580:K643" si="19">MONTH(C580)</f>
        <v>1</v>
      </c>
      <c r="L580" s="13"/>
      <c r="M580" s="13"/>
    </row>
    <row r="581" spans="1:13" x14ac:dyDescent="0.25">
      <c r="A581" s="1" t="s">
        <v>2006</v>
      </c>
      <c r="B581" s="1" t="s">
        <v>2007</v>
      </c>
      <c r="C581" s="1" t="s">
        <v>2008</v>
      </c>
      <c r="D581" s="1" t="s">
        <v>12</v>
      </c>
      <c r="E581" s="1" t="s">
        <v>122</v>
      </c>
      <c r="F581" s="1" t="s">
        <v>22</v>
      </c>
      <c r="G581" s="1" t="s">
        <v>15</v>
      </c>
      <c r="H581" s="1" t="s">
        <v>41</v>
      </c>
      <c r="I581" s="1">
        <v>0</v>
      </c>
      <c r="J581" s="12">
        <f t="shared" si="18"/>
        <v>45326</v>
      </c>
      <c r="K581" s="14">
        <f t="shared" si="19"/>
        <v>2</v>
      </c>
      <c r="L581" s="13"/>
      <c r="M581" s="13"/>
    </row>
    <row r="582" spans="1:13" x14ac:dyDescent="0.25">
      <c r="A582" s="1" t="s">
        <v>1310</v>
      </c>
      <c r="B582" s="1" t="s">
        <v>2009</v>
      </c>
      <c r="C582" s="1" t="s">
        <v>2010</v>
      </c>
      <c r="D582" s="1" t="s">
        <v>45</v>
      </c>
      <c r="E582" s="1" t="s">
        <v>126</v>
      </c>
      <c r="F582" s="1" t="s">
        <v>75</v>
      </c>
      <c r="G582" s="1" t="s">
        <v>15</v>
      </c>
      <c r="H582" s="1" t="s">
        <v>30</v>
      </c>
      <c r="I582" s="1">
        <v>617</v>
      </c>
      <c r="J582" s="12">
        <f t="shared" si="18"/>
        <v>45310</v>
      </c>
      <c r="K582" s="14">
        <f t="shared" si="19"/>
        <v>1</v>
      </c>
      <c r="L582" s="13"/>
      <c r="M582" s="13"/>
    </row>
    <row r="583" spans="1:13" x14ac:dyDescent="0.25">
      <c r="A583" s="1" t="s">
        <v>311</v>
      </c>
      <c r="B583" s="1" t="s">
        <v>1362</v>
      </c>
      <c r="C583" s="1" t="s">
        <v>2011</v>
      </c>
      <c r="D583" s="1" t="s">
        <v>45</v>
      </c>
      <c r="E583" s="1" t="s">
        <v>2012</v>
      </c>
      <c r="F583" s="1" t="s">
        <v>40</v>
      </c>
      <c r="G583" s="1" t="s">
        <v>23</v>
      </c>
      <c r="H583" s="1" t="s">
        <v>30</v>
      </c>
      <c r="I583" s="1">
        <v>3267</v>
      </c>
      <c r="J583" s="12">
        <f t="shared" si="18"/>
        <v>45307</v>
      </c>
      <c r="K583" s="14">
        <f t="shared" si="19"/>
        <v>1</v>
      </c>
      <c r="L583" s="13"/>
      <c r="M583" s="13"/>
    </row>
    <row r="584" spans="1:13" x14ac:dyDescent="0.25">
      <c r="A584" s="1" t="s">
        <v>2013</v>
      </c>
      <c r="B584" s="1" t="s">
        <v>2014</v>
      </c>
      <c r="C584" s="1" t="s">
        <v>2015</v>
      </c>
      <c r="D584" s="1" t="s">
        <v>45</v>
      </c>
      <c r="E584" s="1" t="s">
        <v>933</v>
      </c>
      <c r="F584" s="1" t="s">
        <v>29</v>
      </c>
      <c r="G584" s="1" t="s">
        <v>15</v>
      </c>
      <c r="H584" s="1" t="s">
        <v>30</v>
      </c>
      <c r="I584" s="1">
        <v>921</v>
      </c>
      <c r="J584" s="12">
        <f t="shared" si="18"/>
        <v>45306</v>
      </c>
      <c r="K584" s="14">
        <f t="shared" si="19"/>
        <v>1</v>
      </c>
      <c r="L584" s="13"/>
      <c r="M584" s="13"/>
    </row>
    <row r="585" spans="1:13" x14ac:dyDescent="0.25">
      <c r="A585" s="1" t="s">
        <v>2016</v>
      </c>
      <c r="B585" s="1" t="s">
        <v>2017</v>
      </c>
      <c r="C585" s="1" t="s">
        <v>681</v>
      </c>
      <c r="D585" s="1" t="s">
        <v>20</v>
      </c>
      <c r="E585" s="1" t="s">
        <v>2018</v>
      </c>
      <c r="F585" s="1" t="s">
        <v>22</v>
      </c>
      <c r="G585" s="1" t="s">
        <v>23</v>
      </c>
      <c r="H585" s="1" t="s">
        <v>41</v>
      </c>
      <c r="I585" s="1">
        <v>0</v>
      </c>
      <c r="J585" s="12">
        <f t="shared" si="18"/>
        <v>45323</v>
      </c>
      <c r="K585" s="14">
        <f t="shared" si="19"/>
        <v>2</v>
      </c>
      <c r="L585" s="13"/>
      <c r="M585" s="13"/>
    </row>
    <row r="586" spans="1:13" x14ac:dyDescent="0.25">
      <c r="A586" s="1" t="s">
        <v>1448</v>
      </c>
      <c r="B586" s="1" t="s">
        <v>2019</v>
      </c>
      <c r="C586" s="1" t="s">
        <v>2020</v>
      </c>
      <c r="D586" s="1" t="s">
        <v>12</v>
      </c>
      <c r="E586" s="1" t="s">
        <v>574</v>
      </c>
      <c r="F586" s="1" t="s">
        <v>75</v>
      </c>
      <c r="G586" s="1" t="s">
        <v>35</v>
      </c>
      <c r="H586" s="1" t="s">
        <v>30</v>
      </c>
      <c r="I586" s="1">
        <v>0</v>
      </c>
      <c r="J586" s="12">
        <f t="shared" si="18"/>
        <v>45315</v>
      </c>
      <c r="K586" s="14">
        <f t="shared" si="19"/>
        <v>1</v>
      </c>
      <c r="L586" s="13"/>
      <c r="M586" s="13"/>
    </row>
    <row r="587" spans="1:13" x14ac:dyDescent="0.25">
      <c r="A587" s="1" t="s">
        <v>147</v>
      </c>
      <c r="B587" s="1" t="s">
        <v>2021</v>
      </c>
      <c r="C587" s="1" t="s">
        <v>2022</v>
      </c>
      <c r="D587" s="1" t="s">
        <v>45</v>
      </c>
      <c r="E587" s="1" t="s">
        <v>225</v>
      </c>
      <c r="F587" s="1" t="s">
        <v>40</v>
      </c>
      <c r="G587" s="1" t="s">
        <v>23</v>
      </c>
      <c r="H587" s="1" t="s">
        <v>16</v>
      </c>
      <c r="I587" s="1">
        <v>3098</v>
      </c>
      <c r="J587" s="12">
        <f t="shared" si="18"/>
        <v>45292</v>
      </c>
      <c r="K587" s="14">
        <f t="shared" si="19"/>
        <v>1</v>
      </c>
      <c r="L587" s="13"/>
      <c r="M587" s="13"/>
    </row>
    <row r="588" spans="1:13" x14ac:dyDescent="0.25">
      <c r="A588" s="1" t="s">
        <v>2023</v>
      </c>
      <c r="B588" s="1" t="s">
        <v>2024</v>
      </c>
      <c r="C588" s="1" t="s">
        <v>2025</v>
      </c>
      <c r="D588" s="1" t="s">
        <v>12</v>
      </c>
      <c r="E588" s="1" t="s">
        <v>2026</v>
      </c>
      <c r="F588" s="1" t="s">
        <v>14</v>
      </c>
      <c r="G588" s="1" t="s">
        <v>35</v>
      </c>
      <c r="H588" s="1" t="s">
        <v>30</v>
      </c>
      <c r="I588" s="1">
        <v>0</v>
      </c>
      <c r="J588" s="12">
        <f t="shared" si="18"/>
        <v>45303</v>
      </c>
      <c r="K588" s="14">
        <f t="shared" si="19"/>
        <v>1</v>
      </c>
      <c r="L588" s="13"/>
      <c r="M588" s="13"/>
    </row>
    <row r="589" spans="1:13" x14ac:dyDescent="0.25">
      <c r="A589" s="1" t="s">
        <v>1911</v>
      </c>
      <c r="B589" s="1" t="s">
        <v>2027</v>
      </c>
      <c r="C589" s="1" t="s">
        <v>2028</v>
      </c>
      <c r="D589" s="1" t="s">
        <v>45</v>
      </c>
      <c r="E589" s="1" t="s">
        <v>2029</v>
      </c>
      <c r="F589" s="1" t="s">
        <v>22</v>
      </c>
      <c r="G589" s="1" t="s">
        <v>35</v>
      </c>
      <c r="H589" s="1" t="s">
        <v>16</v>
      </c>
      <c r="I589" s="1">
        <v>1212</v>
      </c>
      <c r="J589" s="12">
        <f t="shared" si="18"/>
        <v>45296</v>
      </c>
      <c r="K589" s="14">
        <f t="shared" si="19"/>
        <v>1</v>
      </c>
      <c r="L589" s="13"/>
      <c r="M589" s="13"/>
    </row>
    <row r="590" spans="1:13" x14ac:dyDescent="0.25">
      <c r="A590" s="1" t="s">
        <v>2030</v>
      </c>
      <c r="B590" s="1" t="s">
        <v>2031</v>
      </c>
      <c r="C590" s="1" t="s">
        <v>2032</v>
      </c>
      <c r="D590" s="1" t="s">
        <v>12</v>
      </c>
      <c r="E590" s="1" t="s">
        <v>2033</v>
      </c>
      <c r="F590" s="1" t="s">
        <v>29</v>
      </c>
      <c r="G590" s="1" t="s">
        <v>23</v>
      </c>
      <c r="H590" s="1" t="s">
        <v>55</v>
      </c>
      <c r="I590" s="1">
        <v>0</v>
      </c>
      <c r="J590" s="12">
        <f t="shared" si="18"/>
        <v>45310</v>
      </c>
      <c r="K590" s="14">
        <f t="shared" si="19"/>
        <v>1</v>
      </c>
      <c r="L590" s="13"/>
      <c r="M590" s="13"/>
    </row>
    <row r="591" spans="1:13" x14ac:dyDescent="0.25">
      <c r="A591" s="1" t="s">
        <v>2034</v>
      </c>
      <c r="B591" s="1" t="s">
        <v>2035</v>
      </c>
      <c r="C591" s="1" t="s">
        <v>2036</v>
      </c>
      <c r="D591" s="1" t="s">
        <v>12</v>
      </c>
      <c r="E591" s="1" t="s">
        <v>2037</v>
      </c>
      <c r="F591" s="1" t="s">
        <v>14</v>
      </c>
      <c r="G591" s="1" t="s">
        <v>35</v>
      </c>
      <c r="H591" s="1" t="s">
        <v>55</v>
      </c>
      <c r="I591" s="1">
        <v>0</v>
      </c>
      <c r="J591" s="12">
        <f t="shared" si="18"/>
        <v>45312</v>
      </c>
      <c r="K591" s="14">
        <f t="shared" si="19"/>
        <v>1</v>
      </c>
      <c r="L591" s="13"/>
      <c r="M591" s="13"/>
    </row>
    <row r="592" spans="1:13" x14ac:dyDescent="0.25">
      <c r="A592" s="1" t="s">
        <v>1688</v>
      </c>
      <c r="B592" s="1" t="s">
        <v>649</v>
      </c>
      <c r="C592" s="1" t="s">
        <v>2038</v>
      </c>
      <c r="D592" s="1" t="s">
        <v>20</v>
      </c>
      <c r="E592" s="1" t="s">
        <v>564</v>
      </c>
      <c r="F592" s="1" t="s">
        <v>22</v>
      </c>
      <c r="G592" s="1" t="s">
        <v>35</v>
      </c>
      <c r="H592" s="1" t="s">
        <v>30</v>
      </c>
      <c r="I592" s="1">
        <v>0</v>
      </c>
      <c r="J592" s="12">
        <f t="shared" si="18"/>
        <v>45317</v>
      </c>
      <c r="K592" s="14">
        <f t="shared" si="19"/>
        <v>1</v>
      </c>
      <c r="L592" s="13"/>
      <c r="M592" s="13"/>
    </row>
    <row r="593" spans="1:13" x14ac:dyDescent="0.25">
      <c r="A593" s="1" t="s">
        <v>2039</v>
      </c>
      <c r="B593" s="1" t="s">
        <v>2040</v>
      </c>
      <c r="C593" s="1" t="s">
        <v>2041</v>
      </c>
      <c r="D593" s="1" t="s">
        <v>12</v>
      </c>
      <c r="E593" s="1" t="s">
        <v>2042</v>
      </c>
      <c r="F593" s="1" t="s">
        <v>29</v>
      </c>
      <c r="G593" s="1" t="s">
        <v>23</v>
      </c>
      <c r="H593" s="1" t="s">
        <v>55</v>
      </c>
      <c r="I593" s="1">
        <v>0</v>
      </c>
      <c r="J593" s="12">
        <f t="shared" si="18"/>
        <v>45292</v>
      </c>
      <c r="K593" s="14">
        <f t="shared" si="19"/>
        <v>1</v>
      </c>
      <c r="L593" s="13"/>
      <c r="M593" s="13"/>
    </row>
    <row r="594" spans="1:13" x14ac:dyDescent="0.25">
      <c r="A594" s="1" t="s">
        <v>323</v>
      </c>
      <c r="B594" s="1" t="s">
        <v>2043</v>
      </c>
      <c r="C594" s="1" t="s">
        <v>2044</v>
      </c>
      <c r="D594" s="1" t="s">
        <v>12</v>
      </c>
      <c r="E594" s="1" t="s">
        <v>2045</v>
      </c>
      <c r="F594" s="1" t="s">
        <v>22</v>
      </c>
      <c r="G594" s="1" t="s">
        <v>15</v>
      </c>
      <c r="H594" s="1" t="s">
        <v>30</v>
      </c>
      <c r="I594" s="1">
        <v>0</v>
      </c>
      <c r="J594" s="12">
        <f t="shared" si="18"/>
        <v>45322</v>
      </c>
      <c r="K594" s="14">
        <f t="shared" si="19"/>
        <v>1</v>
      </c>
      <c r="L594" s="13"/>
      <c r="M594" s="13"/>
    </row>
    <row r="595" spans="1:13" x14ac:dyDescent="0.25">
      <c r="A595" s="1" t="s">
        <v>2046</v>
      </c>
      <c r="B595" s="1" t="s">
        <v>2047</v>
      </c>
      <c r="C595" s="1" t="s">
        <v>2048</v>
      </c>
      <c r="D595" s="1" t="s">
        <v>45</v>
      </c>
      <c r="E595" s="1" t="s">
        <v>2049</v>
      </c>
      <c r="F595" s="1" t="s">
        <v>29</v>
      </c>
      <c r="G595" s="1" t="s">
        <v>15</v>
      </c>
      <c r="H595" s="1" t="s">
        <v>30</v>
      </c>
      <c r="I595" s="1">
        <v>3437</v>
      </c>
      <c r="J595" s="12">
        <f t="shared" si="18"/>
        <v>45302</v>
      </c>
      <c r="K595" s="14">
        <f t="shared" si="19"/>
        <v>1</v>
      </c>
      <c r="L595" s="13"/>
      <c r="M595" s="13"/>
    </row>
    <row r="596" spans="1:13" x14ac:dyDescent="0.25">
      <c r="A596" s="1" t="s">
        <v>1798</v>
      </c>
      <c r="B596" s="1" t="s">
        <v>2050</v>
      </c>
      <c r="C596" s="1" t="s">
        <v>2051</v>
      </c>
      <c r="D596" s="1" t="s">
        <v>45</v>
      </c>
      <c r="E596" s="1" t="s">
        <v>769</v>
      </c>
      <c r="F596" s="1" t="s">
        <v>40</v>
      </c>
      <c r="G596" s="1" t="s">
        <v>15</v>
      </c>
      <c r="H596" s="1" t="s">
        <v>24</v>
      </c>
      <c r="I596" s="1">
        <v>3882</v>
      </c>
      <c r="J596" s="12">
        <f t="shared" si="18"/>
        <v>45321</v>
      </c>
      <c r="K596" s="14">
        <f t="shared" si="19"/>
        <v>1</v>
      </c>
      <c r="L596" s="13"/>
      <c r="M596" s="13"/>
    </row>
    <row r="597" spans="1:13" x14ac:dyDescent="0.25">
      <c r="A597" s="1" t="s">
        <v>2052</v>
      </c>
      <c r="B597" s="1" t="s">
        <v>2053</v>
      </c>
      <c r="C597" s="1" t="s">
        <v>2054</v>
      </c>
      <c r="D597" s="1" t="s">
        <v>20</v>
      </c>
      <c r="E597" s="1" t="s">
        <v>2055</v>
      </c>
      <c r="F597" s="1" t="s">
        <v>75</v>
      </c>
      <c r="G597" s="1" t="s">
        <v>15</v>
      </c>
      <c r="H597" s="1" t="s">
        <v>41</v>
      </c>
      <c r="I597" s="1">
        <v>0</v>
      </c>
      <c r="J597" s="12">
        <f t="shared" si="18"/>
        <v>45311</v>
      </c>
      <c r="K597" s="14">
        <f t="shared" si="19"/>
        <v>1</v>
      </c>
      <c r="L597" s="13"/>
      <c r="M597" s="13"/>
    </row>
    <row r="598" spans="1:13" x14ac:dyDescent="0.25">
      <c r="A598" s="1" t="s">
        <v>915</v>
      </c>
      <c r="B598" s="1" t="s">
        <v>2056</v>
      </c>
      <c r="C598" s="1" t="s">
        <v>2057</v>
      </c>
      <c r="D598" s="1" t="s">
        <v>20</v>
      </c>
      <c r="E598" s="1" t="s">
        <v>2058</v>
      </c>
      <c r="F598" s="1" t="s">
        <v>29</v>
      </c>
      <c r="G598" s="1" t="s">
        <v>15</v>
      </c>
      <c r="H598" s="1" t="s">
        <v>55</v>
      </c>
      <c r="I598" s="1">
        <v>0</v>
      </c>
      <c r="J598" s="12">
        <f t="shared" si="18"/>
        <v>45311</v>
      </c>
      <c r="K598" s="14">
        <f t="shared" si="19"/>
        <v>1</v>
      </c>
      <c r="L598" s="13"/>
      <c r="M598" s="13"/>
    </row>
    <row r="599" spans="1:13" x14ac:dyDescent="0.25">
      <c r="A599" s="1" t="s">
        <v>2059</v>
      </c>
      <c r="B599" s="1" t="s">
        <v>2060</v>
      </c>
      <c r="C599" s="1" t="s">
        <v>2061</v>
      </c>
      <c r="D599" s="1" t="s">
        <v>20</v>
      </c>
      <c r="E599" s="1" t="s">
        <v>91</v>
      </c>
      <c r="F599" s="1" t="s">
        <v>75</v>
      </c>
      <c r="G599" s="1" t="s">
        <v>23</v>
      </c>
      <c r="H599" s="1" t="s">
        <v>30</v>
      </c>
      <c r="I599" s="1">
        <v>0</v>
      </c>
      <c r="J599" s="12">
        <f t="shared" si="18"/>
        <v>45321</v>
      </c>
      <c r="K599" s="14">
        <f t="shared" si="19"/>
        <v>1</v>
      </c>
      <c r="L599" s="13"/>
      <c r="M599" s="13"/>
    </row>
    <row r="600" spans="1:13" x14ac:dyDescent="0.25">
      <c r="A600" s="1" t="s">
        <v>2062</v>
      </c>
      <c r="B600" s="1" t="s">
        <v>2063</v>
      </c>
      <c r="C600" s="1" t="s">
        <v>2064</v>
      </c>
      <c r="D600" s="1" t="s">
        <v>12</v>
      </c>
      <c r="E600" s="1" t="s">
        <v>346</v>
      </c>
      <c r="F600" s="1" t="s">
        <v>40</v>
      </c>
      <c r="G600" s="1" t="s">
        <v>15</v>
      </c>
      <c r="H600" s="1" t="s">
        <v>41</v>
      </c>
      <c r="I600" s="1">
        <v>0</v>
      </c>
      <c r="J600" s="12">
        <f t="shared" si="18"/>
        <v>45306</v>
      </c>
      <c r="K600" s="14">
        <f t="shared" si="19"/>
        <v>1</v>
      </c>
      <c r="L600" s="13"/>
      <c r="M600" s="13"/>
    </row>
    <row r="601" spans="1:13" x14ac:dyDescent="0.25">
      <c r="A601" s="1" t="s">
        <v>2065</v>
      </c>
      <c r="B601" s="1" t="s">
        <v>2066</v>
      </c>
      <c r="C601" s="1" t="s">
        <v>2067</v>
      </c>
      <c r="D601" s="1" t="s">
        <v>12</v>
      </c>
      <c r="E601" s="1" t="s">
        <v>980</v>
      </c>
      <c r="F601" s="1" t="s">
        <v>22</v>
      </c>
      <c r="G601" s="1" t="s">
        <v>35</v>
      </c>
      <c r="H601" s="1" t="s">
        <v>30</v>
      </c>
      <c r="I601" s="1">
        <v>0</v>
      </c>
      <c r="J601" s="12">
        <f t="shared" si="18"/>
        <v>45317</v>
      </c>
      <c r="K601" s="14">
        <f t="shared" si="19"/>
        <v>1</v>
      </c>
      <c r="L601" s="13"/>
      <c r="M601" s="13"/>
    </row>
    <row r="602" spans="1:13" x14ac:dyDescent="0.25">
      <c r="A602" s="1" t="s">
        <v>2068</v>
      </c>
      <c r="B602" s="1" t="s">
        <v>2069</v>
      </c>
      <c r="C602" s="1" t="s">
        <v>2070</v>
      </c>
      <c r="D602" s="1" t="s">
        <v>12</v>
      </c>
      <c r="E602" s="1" t="s">
        <v>2071</v>
      </c>
      <c r="F602" s="1" t="s">
        <v>75</v>
      </c>
      <c r="G602" s="1" t="s">
        <v>35</v>
      </c>
      <c r="H602" s="1" t="s">
        <v>30</v>
      </c>
      <c r="I602" s="1">
        <v>0</v>
      </c>
      <c r="J602" s="12">
        <f t="shared" si="18"/>
        <v>45326</v>
      </c>
      <c r="K602" s="14">
        <f t="shared" si="19"/>
        <v>2</v>
      </c>
      <c r="L602" s="13"/>
      <c r="M602" s="13"/>
    </row>
    <row r="603" spans="1:13" x14ac:dyDescent="0.25">
      <c r="A603" s="1" t="s">
        <v>557</v>
      </c>
      <c r="B603" s="1" t="s">
        <v>2072</v>
      </c>
      <c r="C603" s="1" t="s">
        <v>2073</v>
      </c>
      <c r="D603" s="1" t="s">
        <v>20</v>
      </c>
      <c r="E603" s="1" t="s">
        <v>862</v>
      </c>
      <c r="F603" s="1" t="s">
        <v>40</v>
      </c>
      <c r="G603" s="1" t="s">
        <v>23</v>
      </c>
      <c r="H603" s="1" t="s">
        <v>24</v>
      </c>
      <c r="I603" s="1">
        <v>0</v>
      </c>
      <c r="J603" s="12">
        <f t="shared" si="18"/>
        <v>45300</v>
      </c>
      <c r="K603" s="14">
        <f t="shared" si="19"/>
        <v>1</v>
      </c>
      <c r="L603" s="13"/>
      <c r="M603" s="13"/>
    </row>
    <row r="604" spans="1:13" x14ac:dyDescent="0.25">
      <c r="A604" s="1" t="s">
        <v>1996</v>
      </c>
      <c r="B604" s="1" t="s">
        <v>2074</v>
      </c>
      <c r="C604" s="1" t="s">
        <v>2075</v>
      </c>
      <c r="D604" s="1" t="s">
        <v>20</v>
      </c>
      <c r="E604" s="1" t="s">
        <v>2076</v>
      </c>
      <c r="F604" s="1" t="s">
        <v>75</v>
      </c>
      <c r="G604" s="1" t="s">
        <v>23</v>
      </c>
      <c r="H604" s="1" t="s">
        <v>41</v>
      </c>
      <c r="I604" s="1">
        <v>0</v>
      </c>
      <c r="J604" s="12">
        <f t="shared" si="18"/>
        <v>45317</v>
      </c>
      <c r="K604" s="14">
        <f t="shared" si="19"/>
        <v>1</v>
      </c>
      <c r="L604" s="13"/>
      <c r="M604" s="13"/>
    </row>
    <row r="605" spans="1:13" x14ac:dyDescent="0.25">
      <c r="A605" s="1" t="s">
        <v>386</v>
      </c>
      <c r="B605" s="1" t="s">
        <v>2077</v>
      </c>
      <c r="C605" s="1" t="s">
        <v>2078</v>
      </c>
      <c r="D605" s="1" t="s">
        <v>20</v>
      </c>
      <c r="E605" s="1" t="s">
        <v>2079</v>
      </c>
      <c r="F605" s="1" t="s">
        <v>22</v>
      </c>
      <c r="G605" s="1" t="s">
        <v>15</v>
      </c>
      <c r="H605" s="1" t="s">
        <v>16</v>
      </c>
      <c r="I605" s="1">
        <v>0</v>
      </c>
      <c r="J605" s="12">
        <f t="shared" si="18"/>
        <v>45315</v>
      </c>
      <c r="K605" s="14">
        <f t="shared" si="19"/>
        <v>1</v>
      </c>
      <c r="L605" s="13"/>
      <c r="M605" s="13"/>
    </row>
    <row r="606" spans="1:13" x14ac:dyDescent="0.25">
      <c r="A606" s="1" t="s">
        <v>2080</v>
      </c>
      <c r="B606" s="1" t="s">
        <v>2081</v>
      </c>
      <c r="C606" s="1" t="s">
        <v>2082</v>
      </c>
      <c r="D606" s="1" t="s">
        <v>45</v>
      </c>
      <c r="E606" s="1" t="s">
        <v>2083</v>
      </c>
      <c r="F606" s="1" t="s">
        <v>40</v>
      </c>
      <c r="G606" s="1" t="s">
        <v>15</v>
      </c>
      <c r="H606" s="1" t="s">
        <v>30</v>
      </c>
      <c r="I606" s="1">
        <v>2812</v>
      </c>
      <c r="J606" s="12">
        <f t="shared" si="18"/>
        <v>45301</v>
      </c>
      <c r="K606" s="14">
        <f t="shared" si="19"/>
        <v>1</v>
      </c>
      <c r="L606" s="13"/>
      <c r="M606" s="13"/>
    </row>
    <row r="607" spans="1:13" x14ac:dyDescent="0.25">
      <c r="A607" s="1" t="s">
        <v>1078</v>
      </c>
      <c r="B607" s="1" t="s">
        <v>2084</v>
      </c>
      <c r="C607" s="1" t="s">
        <v>2085</v>
      </c>
      <c r="D607" s="1" t="s">
        <v>20</v>
      </c>
      <c r="E607" s="1" t="s">
        <v>1566</v>
      </c>
      <c r="F607" s="1" t="s">
        <v>75</v>
      </c>
      <c r="G607" s="1" t="s">
        <v>35</v>
      </c>
      <c r="H607" s="1" t="s">
        <v>55</v>
      </c>
      <c r="I607" s="1">
        <v>0</v>
      </c>
      <c r="J607" s="12">
        <f t="shared" si="18"/>
        <v>45312</v>
      </c>
      <c r="K607" s="14">
        <f t="shared" si="19"/>
        <v>1</v>
      </c>
      <c r="L607" s="13"/>
      <c r="M607" s="13"/>
    </row>
    <row r="608" spans="1:13" x14ac:dyDescent="0.25">
      <c r="A608" s="1" t="s">
        <v>495</v>
      </c>
      <c r="B608" s="1" t="s">
        <v>2086</v>
      </c>
      <c r="C608" s="1" t="s">
        <v>2087</v>
      </c>
      <c r="D608" s="1" t="s">
        <v>12</v>
      </c>
      <c r="E608" s="1" t="s">
        <v>247</v>
      </c>
      <c r="F608" s="1" t="s">
        <v>14</v>
      </c>
      <c r="G608" s="1" t="s">
        <v>15</v>
      </c>
      <c r="H608" s="1" t="s">
        <v>30</v>
      </c>
      <c r="I608" s="1">
        <v>0</v>
      </c>
      <c r="J608" s="12">
        <f t="shared" si="18"/>
        <v>45302</v>
      </c>
      <c r="K608" s="14">
        <f t="shared" si="19"/>
        <v>1</v>
      </c>
      <c r="L608" s="13"/>
      <c r="M608" s="13"/>
    </row>
    <row r="609" spans="1:13" x14ac:dyDescent="0.25">
      <c r="A609" s="1" t="s">
        <v>2088</v>
      </c>
      <c r="B609" s="1" t="s">
        <v>2089</v>
      </c>
      <c r="C609" s="1" t="s">
        <v>2090</v>
      </c>
      <c r="D609" s="1" t="s">
        <v>20</v>
      </c>
      <c r="E609" s="1" t="s">
        <v>2091</v>
      </c>
      <c r="F609" s="1" t="s">
        <v>40</v>
      </c>
      <c r="G609" s="1" t="s">
        <v>15</v>
      </c>
      <c r="H609" s="1" t="s">
        <v>41</v>
      </c>
      <c r="I609" s="1">
        <v>0</v>
      </c>
      <c r="J609" s="12">
        <f t="shared" si="18"/>
        <v>45323</v>
      </c>
      <c r="K609" s="14">
        <f t="shared" si="19"/>
        <v>2</v>
      </c>
      <c r="L609" s="13"/>
      <c r="M609" s="13"/>
    </row>
    <row r="610" spans="1:13" x14ac:dyDescent="0.25">
      <c r="A610" s="1" t="s">
        <v>1023</v>
      </c>
      <c r="B610" s="1" t="s">
        <v>1123</v>
      </c>
      <c r="C610" s="1" t="s">
        <v>2092</v>
      </c>
      <c r="D610" s="1" t="s">
        <v>12</v>
      </c>
      <c r="E610" s="1" t="s">
        <v>2093</v>
      </c>
      <c r="F610" s="1" t="s">
        <v>75</v>
      </c>
      <c r="G610" s="1" t="s">
        <v>23</v>
      </c>
      <c r="H610" s="1" t="s">
        <v>55</v>
      </c>
      <c r="I610" s="1">
        <v>0</v>
      </c>
      <c r="J610" s="12">
        <f t="shared" si="18"/>
        <v>45322</v>
      </c>
      <c r="K610" s="14">
        <f t="shared" si="19"/>
        <v>1</v>
      </c>
      <c r="L610" s="13"/>
      <c r="M610" s="13"/>
    </row>
    <row r="611" spans="1:13" x14ac:dyDescent="0.25">
      <c r="A611" s="1" t="s">
        <v>2094</v>
      </c>
      <c r="B611" s="1" t="s">
        <v>2095</v>
      </c>
      <c r="C611" s="1" t="s">
        <v>2096</v>
      </c>
      <c r="D611" s="1" t="s">
        <v>20</v>
      </c>
      <c r="E611" s="1" t="s">
        <v>2079</v>
      </c>
      <c r="F611" s="1" t="s">
        <v>75</v>
      </c>
      <c r="G611" s="1" t="s">
        <v>35</v>
      </c>
      <c r="H611" s="1" t="s">
        <v>30</v>
      </c>
      <c r="I611" s="1">
        <v>0</v>
      </c>
      <c r="J611" s="12">
        <f t="shared" si="18"/>
        <v>45295</v>
      </c>
      <c r="K611" s="14">
        <f t="shared" si="19"/>
        <v>1</v>
      </c>
      <c r="L611" s="13"/>
      <c r="M611" s="13"/>
    </row>
    <row r="612" spans="1:13" x14ac:dyDescent="0.25">
      <c r="A612" s="1" t="s">
        <v>2097</v>
      </c>
      <c r="B612" s="1" t="s">
        <v>2098</v>
      </c>
      <c r="C612" s="1" t="s">
        <v>2099</v>
      </c>
      <c r="D612" s="1" t="s">
        <v>12</v>
      </c>
      <c r="E612" s="1" t="s">
        <v>2100</v>
      </c>
      <c r="F612" s="1" t="s">
        <v>22</v>
      </c>
      <c r="G612" s="1" t="s">
        <v>23</v>
      </c>
      <c r="H612" s="1" t="s">
        <v>24</v>
      </c>
      <c r="I612" s="1">
        <v>0</v>
      </c>
      <c r="J612" s="12">
        <f t="shared" si="18"/>
        <v>45317</v>
      </c>
      <c r="K612" s="14">
        <f t="shared" si="19"/>
        <v>1</v>
      </c>
      <c r="L612" s="13"/>
      <c r="M612" s="13"/>
    </row>
    <row r="613" spans="1:13" x14ac:dyDescent="0.25">
      <c r="A613" s="1" t="s">
        <v>1911</v>
      </c>
      <c r="B613" s="1" t="s">
        <v>2101</v>
      </c>
      <c r="C613" s="1" t="s">
        <v>2102</v>
      </c>
      <c r="D613" s="1" t="s">
        <v>12</v>
      </c>
      <c r="E613" s="1" t="s">
        <v>1910</v>
      </c>
      <c r="F613" s="1" t="s">
        <v>14</v>
      </c>
      <c r="G613" s="1" t="s">
        <v>23</v>
      </c>
      <c r="H613" s="1" t="s">
        <v>24</v>
      </c>
      <c r="I613" s="1">
        <v>0</v>
      </c>
      <c r="J613" s="12">
        <f t="shared" si="18"/>
        <v>45305</v>
      </c>
      <c r="K613" s="14">
        <f t="shared" si="19"/>
        <v>1</v>
      </c>
      <c r="L613" s="13"/>
      <c r="M613" s="13"/>
    </row>
    <row r="614" spans="1:13" x14ac:dyDescent="0.25">
      <c r="A614" s="1" t="s">
        <v>2103</v>
      </c>
      <c r="B614" s="1" t="s">
        <v>2104</v>
      </c>
      <c r="C614" s="1" t="s">
        <v>2105</v>
      </c>
      <c r="D614" s="1" t="s">
        <v>20</v>
      </c>
      <c r="E614" s="1" t="s">
        <v>1609</v>
      </c>
      <c r="F614" s="1" t="s">
        <v>29</v>
      </c>
      <c r="G614" s="1" t="s">
        <v>35</v>
      </c>
      <c r="H614" s="1" t="s">
        <v>16</v>
      </c>
      <c r="I614" s="1">
        <v>0</v>
      </c>
      <c r="J614" s="12">
        <f t="shared" si="18"/>
        <v>45321</v>
      </c>
      <c r="K614" s="14">
        <f t="shared" si="19"/>
        <v>1</v>
      </c>
      <c r="L614" s="13"/>
      <c r="M614" s="13"/>
    </row>
    <row r="615" spans="1:13" x14ac:dyDescent="0.25">
      <c r="A615" s="1" t="s">
        <v>2106</v>
      </c>
      <c r="B615" s="1" t="s">
        <v>2107</v>
      </c>
      <c r="C615" s="1" t="s">
        <v>2108</v>
      </c>
      <c r="D615" s="1" t="s">
        <v>45</v>
      </c>
      <c r="E615" s="1" t="s">
        <v>2109</v>
      </c>
      <c r="F615" s="1" t="s">
        <v>75</v>
      </c>
      <c r="G615" s="1" t="s">
        <v>35</v>
      </c>
      <c r="H615" s="1" t="s">
        <v>55</v>
      </c>
      <c r="I615" s="1">
        <v>1112</v>
      </c>
      <c r="J615" s="12">
        <f t="shared" si="18"/>
        <v>45323</v>
      </c>
      <c r="K615" s="14">
        <f t="shared" si="19"/>
        <v>2</v>
      </c>
      <c r="L615" s="13"/>
      <c r="M615" s="13"/>
    </row>
    <row r="616" spans="1:13" x14ac:dyDescent="0.25">
      <c r="A616" s="1" t="s">
        <v>2110</v>
      </c>
      <c r="B616" s="1" t="s">
        <v>2111</v>
      </c>
      <c r="C616" s="1" t="s">
        <v>2112</v>
      </c>
      <c r="D616" s="1" t="s">
        <v>12</v>
      </c>
      <c r="E616" s="1" t="s">
        <v>193</v>
      </c>
      <c r="F616" s="1" t="s">
        <v>75</v>
      </c>
      <c r="G616" s="1" t="s">
        <v>23</v>
      </c>
      <c r="H616" s="1" t="s">
        <v>30</v>
      </c>
      <c r="I616" s="1">
        <v>0</v>
      </c>
      <c r="J616" s="12">
        <f t="shared" si="18"/>
        <v>45309</v>
      </c>
      <c r="K616" s="14">
        <f t="shared" si="19"/>
        <v>1</v>
      </c>
      <c r="L616" s="13"/>
      <c r="M616" s="13"/>
    </row>
    <row r="617" spans="1:13" x14ac:dyDescent="0.25">
      <c r="A617" s="1" t="s">
        <v>1289</v>
      </c>
      <c r="B617" s="1" t="s">
        <v>2113</v>
      </c>
      <c r="C617" s="1" t="s">
        <v>2114</v>
      </c>
      <c r="D617" s="1" t="s">
        <v>12</v>
      </c>
      <c r="E617" s="1" t="s">
        <v>1680</v>
      </c>
      <c r="F617" s="1" t="s">
        <v>14</v>
      </c>
      <c r="G617" s="1" t="s">
        <v>15</v>
      </c>
      <c r="H617" s="1" t="s">
        <v>24</v>
      </c>
      <c r="I617" s="1">
        <v>0</v>
      </c>
      <c r="J617" s="12">
        <f t="shared" si="18"/>
        <v>45316</v>
      </c>
      <c r="K617" s="14">
        <f t="shared" si="19"/>
        <v>1</v>
      </c>
      <c r="L617" s="13"/>
      <c r="M617" s="13"/>
    </row>
    <row r="618" spans="1:13" x14ac:dyDescent="0.25">
      <c r="A618" s="1" t="s">
        <v>2115</v>
      </c>
      <c r="B618" s="1" t="s">
        <v>2116</v>
      </c>
      <c r="C618" s="1" t="s">
        <v>2117</v>
      </c>
      <c r="D618" s="1" t="s">
        <v>12</v>
      </c>
      <c r="E618" s="1" t="s">
        <v>2118</v>
      </c>
      <c r="F618" s="1" t="s">
        <v>40</v>
      </c>
      <c r="G618" s="1" t="s">
        <v>35</v>
      </c>
      <c r="H618" s="1" t="s">
        <v>16</v>
      </c>
      <c r="I618" s="1">
        <v>0</v>
      </c>
      <c r="J618" s="12">
        <f t="shared" si="18"/>
        <v>45305</v>
      </c>
      <c r="K618" s="14">
        <f t="shared" si="19"/>
        <v>1</v>
      </c>
      <c r="L618" s="13"/>
      <c r="M618" s="13"/>
    </row>
    <row r="619" spans="1:13" x14ac:dyDescent="0.25">
      <c r="A619" s="1" t="s">
        <v>2119</v>
      </c>
      <c r="B619" s="1" t="s">
        <v>2120</v>
      </c>
      <c r="C619" s="1" t="s">
        <v>2121</v>
      </c>
      <c r="D619" s="1" t="s">
        <v>12</v>
      </c>
      <c r="E619" s="1" t="s">
        <v>2122</v>
      </c>
      <c r="F619" s="1" t="s">
        <v>29</v>
      </c>
      <c r="G619" s="1" t="s">
        <v>15</v>
      </c>
      <c r="H619" s="1" t="s">
        <v>41</v>
      </c>
      <c r="I619" s="1">
        <v>0</v>
      </c>
      <c r="J619" s="12">
        <f t="shared" si="18"/>
        <v>45305</v>
      </c>
      <c r="K619" s="14">
        <f t="shared" si="19"/>
        <v>1</v>
      </c>
      <c r="L619" s="13"/>
      <c r="M619" s="13"/>
    </row>
    <row r="620" spans="1:13" x14ac:dyDescent="0.25">
      <c r="A620" s="1" t="s">
        <v>51</v>
      </c>
      <c r="B620" s="1" t="s">
        <v>687</v>
      </c>
      <c r="C620" s="1" t="s">
        <v>2123</v>
      </c>
      <c r="D620" s="1" t="s">
        <v>12</v>
      </c>
      <c r="E620" s="1" t="s">
        <v>2124</v>
      </c>
      <c r="F620" s="1" t="s">
        <v>14</v>
      </c>
      <c r="G620" s="1" t="s">
        <v>23</v>
      </c>
      <c r="H620" s="1" t="s">
        <v>41</v>
      </c>
      <c r="I620" s="1">
        <v>0</v>
      </c>
      <c r="J620" s="12">
        <f t="shared" si="18"/>
        <v>45324</v>
      </c>
      <c r="K620" s="14">
        <f t="shared" si="19"/>
        <v>2</v>
      </c>
      <c r="L620" s="13"/>
      <c r="M620" s="13"/>
    </row>
    <row r="621" spans="1:13" x14ac:dyDescent="0.25">
      <c r="A621" s="1" t="s">
        <v>2125</v>
      </c>
      <c r="B621" s="1" t="s">
        <v>2126</v>
      </c>
      <c r="C621" s="1" t="s">
        <v>2127</v>
      </c>
      <c r="D621" s="1" t="s">
        <v>12</v>
      </c>
      <c r="E621" s="1" t="s">
        <v>2128</v>
      </c>
      <c r="F621" s="1" t="s">
        <v>14</v>
      </c>
      <c r="G621" s="1" t="s">
        <v>15</v>
      </c>
      <c r="H621" s="1" t="s">
        <v>30</v>
      </c>
      <c r="I621" s="1">
        <v>0</v>
      </c>
      <c r="J621" s="12">
        <f t="shared" si="18"/>
        <v>45294</v>
      </c>
      <c r="K621" s="14">
        <f t="shared" si="19"/>
        <v>1</v>
      </c>
      <c r="L621" s="13"/>
      <c r="M621" s="13"/>
    </row>
    <row r="622" spans="1:13" x14ac:dyDescent="0.25">
      <c r="A622" s="1" t="s">
        <v>2129</v>
      </c>
      <c r="B622" s="1" t="s">
        <v>2130</v>
      </c>
      <c r="C622" s="1" t="s">
        <v>2131</v>
      </c>
      <c r="D622" s="1" t="s">
        <v>12</v>
      </c>
      <c r="E622" s="1" t="s">
        <v>1833</v>
      </c>
      <c r="F622" s="1" t="s">
        <v>29</v>
      </c>
      <c r="G622" s="1" t="s">
        <v>15</v>
      </c>
      <c r="H622" s="1" t="s">
        <v>24</v>
      </c>
      <c r="I622" s="1">
        <v>0</v>
      </c>
      <c r="J622" s="12">
        <f t="shared" si="18"/>
        <v>45302</v>
      </c>
      <c r="K622" s="14">
        <f t="shared" si="19"/>
        <v>1</v>
      </c>
      <c r="L622" s="13"/>
      <c r="M622" s="13"/>
    </row>
    <row r="623" spans="1:13" x14ac:dyDescent="0.25">
      <c r="A623" s="1" t="s">
        <v>638</v>
      </c>
      <c r="B623" s="1" t="s">
        <v>2132</v>
      </c>
      <c r="C623" s="1" t="s">
        <v>2133</v>
      </c>
      <c r="D623" s="1" t="s">
        <v>45</v>
      </c>
      <c r="E623" s="1" t="s">
        <v>907</v>
      </c>
      <c r="F623" s="1" t="s">
        <v>14</v>
      </c>
      <c r="G623" s="1" t="s">
        <v>15</v>
      </c>
      <c r="H623" s="1" t="s">
        <v>30</v>
      </c>
      <c r="I623" s="1">
        <v>2267</v>
      </c>
      <c r="J623" s="12">
        <f t="shared" si="18"/>
        <v>45319</v>
      </c>
      <c r="K623" s="14">
        <f t="shared" si="19"/>
        <v>1</v>
      </c>
      <c r="L623" s="13"/>
      <c r="M623" s="13"/>
    </row>
    <row r="624" spans="1:13" x14ac:dyDescent="0.25">
      <c r="A624" s="1" t="s">
        <v>2134</v>
      </c>
      <c r="B624" s="1" t="s">
        <v>2135</v>
      </c>
      <c r="C624" s="1" t="s">
        <v>2136</v>
      </c>
      <c r="D624" s="1" t="s">
        <v>45</v>
      </c>
      <c r="E624" s="1" t="s">
        <v>2137</v>
      </c>
      <c r="F624" s="1" t="s">
        <v>29</v>
      </c>
      <c r="G624" s="1" t="s">
        <v>15</v>
      </c>
      <c r="H624" s="1" t="s">
        <v>16</v>
      </c>
      <c r="I624" s="1">
        <v>4233</v>
      </c>
      <c r="J624" s="12">
        <f t="shared" si="18"/>
        <v>45293</v>
      </c>
      <c r="K624" s="14">
        <f t="shared" si="19"/>
        <v>1</v>
      </c>
      <c r="L624" s="13"/>
      <c r="M624" s="13"/>
    </row>
    <row r="625" spans="1:13" x14ac:dyDescent="0.25">
      <c r="A625" s="1" t="s">
        <v>2138</v>
      </c>
      <c r="B625" s="1" t="s">
        <v>2139</v>
      </c>
      <c r="C625" s="1" t="s">
        <v>2140</v>
      </c>
      <c r="D625" s="1" t="s">
        <v>20</v>
      </c>
      <c r="E625" s="1" t="s">
        <v>2141</v>
      </c>
      <c r="F625" s="1" t="s">
        <v>14</v>
      </c>
      <c r="G625" s="1" t="s">
        <v>15</v>
      </c>
      <c r="H625" s="1" t="s">
        <v>30</v>
      </c>
      <c r="I625" s="1">
        <v>0</v>
      </c>
      <c r="J625" s="12">
        <f t="shared" si="18"/>
        <v>45305</v>
      </c>
      <c r="K625" s="14">
        <f t="shared" si="19"/>
        <v>1</v>
      </c>
      <c r="L625" s="13"/>
      <c r="M625" s="13"/>
    </row>
    <row r="626" spans="1:13" x14ac:dyDescent="0.25">
      <c r="A626" s="1" t="s">
        <v>1460</v>
      </c>
      <c r="B626" s="1" t="s">
        <v>2142</v>
      </c>
      <c r="C626" s="1" t="s">
        <v>2143</v>
      </c>
      <c r="D626" s="1" t="s">
        <v>45</v>
      </c>
      <c r="E626" s="1" t="s">
        <v>1296</v>
      </c>
      <c r="F626" s="1" t="s">
        <v>14</v>
      </c>
      <c r="G626" s="1" t="s">
        <v>15</v>
      </c>
      <c r="H626" s="1" t="s">
        <v>24</v>
      </c>
      <c r="I626" s="1">
        <v>825</v>
      </c>
      <c r="J626" s="12">
        <f t="shared" si="18"/>
        <v>45307</v>
      </c>
      <c r="K626" s="14">
        <f t="shared" si="19"/>
        <v>1</v>
      </c>
      <c r="L626" s="13"/>
      <c r="M626" s="13"/>
    </row>
    <row r="627" spans="1:13" x14ac:dyDescent="0.25">
      <c r="A627" s="1" t="s">
        <v>2144</v>
      </c>
      <c r="B627" s="1" t="s">
        <v>2145</v>
      </c>
      <c r="C627" s="1" t="s">
        <v>2146</v>
      </c>
      <c r="D627" s="1" t="s">
        <v>20</v>
      </c>
      <c r="E627" s="1" t="s">
        <v>1467</v>
      </c>
      <c r="F627" s="1" t="s">
        <v>75</v>
      </c>
      <c r="G627" s="1" t="s">
        <v>23</v>
      </c>
      <c r="H627" s="1" t="s">
        <v>30</v>
      </c>
      <c r="I627" s="1">
        <v>0</v>
      </c>
      <c r="J627" s="12">
        <f t="shared" si="18"/>
        <v>45301</v>
      </c>
      <c r="K627" s="14">
        <f t="shared" si="19"/>
        <v>1</v>
      </c>
      <c r="L627" s="13"/>
      <c r="M627" s="13"/>
    </row>
    <row r="628" spans="1:13" x14ac:dyDescent="0.25">
      <c r="A628" s="1" t="s">
        <v>2062</v>
      </c>
      <c r="B628" s="1" t="s">
        <v>2147</v>
      </c>
      <c r="C628" s="1" t="s">
        <v>2148</v>
      </c>
      <c r="D628" s="1" t="s">
        <v>20</v>
      </c>
      <c r="E628" s="1" t="s">
        <v>2055</v>
      </c>
      <c r="F628" s="1" t="s">
        <v>14</v>
      </c>
      <c r="G628" s="1" t="s">
        <v>35</v>
      </c>
      <c r="H628" s="1" t="s">
        <v>41</v>
      </c>
      <c r="I628" s="1">
        <v>0</v>
      </c>
      <c r="J628" s="12">
        <f t="shared" si="18"/>
        <v>45295</v>
      </c>
      <c r="K628" s="14">
        <f t="shared" si="19"/>
        <v>1</v>
      </c>
      <c r="L628" s="13"/>
      <c r="M628" s="13"/>
    </row>
    <row r="629" spans="1:13" x14ac:dyDescent="0.25">
      <c r="A629" s="1" t="s">
        <v>319</v>
      </c>
      <c r="B629" s="1" t="s">
        <v>2149</v>
      </c>
      <c r="C629" s="1" t="s">
        <v>2150</v>
      </c>
      <c r="D629" s="1" t="s">
        <v>20</v>
      </c>
      <c r="E629" s="1" t="s">
        <v>2118</v>
      </c>
      <c r="F629" s="1" t="s">
        <v>75</v>
      </c>
      <c r="G629" s="1" t="s">
        <v>23</v>
      </c>
      <c r="H629" s="1" t="s">
        <v>16</v>
      </c>
      <c r="I629" s="1">
        <v>0</v>
      </c>
      <c r="J629" s="12">
        <f t="shared" si="18"/>
        <v>45297</v>
      </c>
      <c r="K629" s="14">
        <f t="shared" si="19"/>
        <v>1</v>
      </c>
      <c r="L629" s="13"/>
      <c r="M629" s="13"/>
    </row>
    <row r="630" spans="1:13" x14ac:dyDescent="0.25">
      <c r="A630" s="1" t="s">
        <v>2151</v>
      </c>
      <c r="B630" s="1" t="s">
        <v>2152</v>
      </c>
      <c r="C630" s="1" t="s">
        <v>2153</v>
      </c>
      <c r="D630" s="1" t="s">
        <v>12</v>
      </c>
      <c r="E630" s="1" t="s">
        <v>458</v>
      </c>
      <c r="F630" s="1" t="s">
        <v>22</v>
      </c>
      <c r="G630" s="1" t="s">
        <v>23</v>
      </c>
      <c r="H630" s="1" t="s">
        <v>24</v>
      </c>
      <c r="I630" s="1">
        <v>0</v>
      </c>
      <c r="J630" s="12">
        <f t="shared" si="18"/>
        <v>45293</v>
      </c>
      <c r="K630" s="14">
        <f t="shared" si="19"/>
        <v>1</v>
      </c>
      <c r="L630" s="13"/>
      <c r="M630" s="13"/>
    </row>
    <row r="631" spans="1:13" x14ac:dyDescent="0.25">
      <c r="A631" s="1" t="s">
        <v>2110</v>
      </c>
      <c r="B631" s="1" t="s">
        <v>2154</v>
      </c>
      <c r="C631" s="1" t="s">
        <v>2155</v>
      </c>
      <c r="D631" s="1" t="s">
        <v>20</v>
      </c>
      <c r="E631" s="1" t="s">
        <v>1180</v>
      </c>
      <c r="F631" s="1" t="s">
        <v>75</v>
      </c>
      <c r="G631" s="1" t="s">
        <v>23</v>
      </c>
      <c r="H631" s="1" t="s">
        <v>30</v>
      </c>
      <c r="I631" s="1">
        <v>0</v>
      </c>
      <c r="J631" s="12">
        <f t="shared" si="18"/>
        <v>45302</v>
      </c>
      <c r="K631" s="14">
        <f t="shared" si="19"/>
        <v>1</v>
      </c>
      <c r="L631" s="13"/>
      <c r="M631" s="13"/>
    </row>
    <row r="632" spans="1:13" x14ac:dyDescent="0.25">
      <c r="A632" s="1" t="s">
        <v>2156</v>
      </c>
      <c r="B632" s="1" t="s">
        <v>355</v>
      </c>
      <c r="C632" s="1" t="s">
        <v>2157</v>
      </c>
      <c r="D632" s="1" t="s">
        <v>12</v>
      </c>
      <c r="E632" s="1" t="s">
        <v>2158</v>
      </c>
      <c r="F632" s="1" t="s">
        <v>75</v>
      </c>
      <c r="G632" s="1" t="s">
        <v>35</v>
      </c>
      <c r="H632" s="1" t="s">
        <v>16</v>
      </c>
      <c r="I632" s="1">
        <v>0</v>
      </c>
      <c r="J632" s="12">
        <f t="shared" si="18"/>
        <v>45316</v>
      </c>
      <c r="K632" s="14">
        <f t="shared" si="19"/>
        <v>1</v>
      </c>
      <c r="L632" s="13"/>
      <c r="M632" s="13"/>
    </row>
    <row r="633" spans="1:13" x14ac:dyDescent="0.25">
      <c r="A633" s="1" t="s">
        <v>2159</v>
      </c>
      <c r="B633" s="1" t="s">
        <v>2160</v>
      </c>
      <c r="C633" s="1" t="s">
        <v>2161</v>
      </c>
      <c r="D633" s="1" t="s">
        <v>12</v>
      </c>
      <c r="E633" s="1" t="s">
        <v>2162</v>
      </c>
      <c r="F633" s="1" t="s">
        <v>40</v>
      </c>
      <c r="G633" s="1" t="s">
        <v>35</v>
      </c>
      <c r="H633" s="1" t="s">
        <v>24</v>
      </c>
      <c r="I633" s="1">
        <v>0</v>
      </c>
      <c r="J633" s="12">
        <f t="shared" si="18"/>
        <v>45294</v>
      </c>
      <c r="K633" s="14">
        <f t="shared" si="19"/>
        <v>1</v>
      </c>
      <c r="L633" s="13"/>
      <c r="M633" s="13"/>
    </row>
    <row r="634" spans="1:13" x14ac:dyDescent="0.25">
      <c r="A634" s="1" t="s">
        <v>2163</v>
      </c>
      <c r="B634" s="1" t="s">
        <v>2164</v>
      </c>
      <c r="C634" s="1" t="s">
        <v>2165</v>
      </c>
      <c r="D634" s="1" t="s">
        <v>12</v>
      </c>
      <c r="E634" s="1" t="s">
        <v>1498</v>
      </c>
      <c r="F634" s="1" t="s">
        <v>75</v>
      </c>
      <c r="G634" s="1" t="s">
        <v>23</v>
      </c>
      <c r="H634" s="1" t="s">
        <v>41</v>
      </c>
      <c r="I634" s="1">
        <v>0</v>
      </c>
      <c r="J634" s="12">
        <f t="shared" si="18"/>
        <v>45320</v>
      </c>
      <c r="K634" s="14">
        <f t="shared" si="19"/>
        <v>1</v>
      </c>
      <c r="L634" s="13"/>
      <c r="M634" s="13"/>
    </row>
    <row r="635" spans="1:13" x14ac:dyDescent="0.25">
      <c r="A635" s="1" t="s">
        <v>1911</v>
      </c>
      <c r="B635" s="1" t="s">
        <v>2166</v>
      </c>
      <c r="C635" s="1" t="s">
        <v>2167</v>
      </c>
      <c r="D635" s="1" t="s">
        <v>12</v>
      </c>
      <c r="E635" s="1" t="s">
        <v>217</v>
      </c>
      <c r="F635" s="1" t="s">
        <v>29</v>
      </c>
      <c r="G635" s="1" t="s">
        <v>15</v>
      </c>
      <c r="H635" s="1" t="s">
        <v>16</v>
      </c>
      <c r="I635" s="1">
        <v>0</v>
      </c>
      <c r="J635" s="12">
        <f t="shared" si="18"/>
        <v>45299</v>
      </c>
      <c r="K635" s="14">
        <f t="shared" si="19"/>
        <v>1</v>
      </c>
      <c r="L635" s="13"/>
      <c r="M635" s="13"/>
    </row>
    <row r="636" spans="1:13" x14ac:dyDescent="0.25">
      <c r="A636" s="1" t="s">
        <v>135</v>
      </c>
      <c r="B636" s="1" t="s">
        <v>2168</v>
      </c>
      <c r="C636" s="1" t="s">
        <v>2169</v>
      </c>
      <c r="D636" s="1" t="s">
        <v>12</v>
      </c>
      <c r="E636" s="1" t="s">
        <v>2170</v>
      </c>
      <c r="F636" s="1" t="s">
        <v>22</v>
      </c>
      <c r="G636" s="1" t="s">
        <v>23</v>
      </c>
      <c r="H636" s="1" t="s">
        <v>41</v>
      </c>
      <c r="I636" s="1">
        <v>0</v>
      </c>
      <c r="J636" s="12">
        <f t="shared" si="18"/>
        <v>45305</v>
      </c>
      <c r="K636" s="14">
        <f t="shared" si="19"/>
        <v>1</v>
      </c>
      <c r="L636" s="13"/>
      <c r="M636" s="13"/>
    </row>
    <row r="637" spans="1:13" x14ac:dyDescent="0.25">
      <c r="A637" s="1" t="s">
        <v>307</v>
      </c>
      <c r="B637" s="1" t="s">
        <v>2171</v>
      </c>
      <c r="C637" s="1" t="s">
        <v>2172</v>
      </c>
      <c r="D637" s="1" t="s">
        <v>12</v>
      </c>
      <c r="E637" s="1" t="s">
        <v>812</v>
      </c>
      <c r="F637" s="1" t="s">
        <v>22</v>
      </c>
      <c r="G637" s="1" t="s">
        <v>35</v>
      </c>
      <c r="H637" s="1" t="s">
        <v>16</v>
      </c>
      <c r="I637" s="1">
        <v>0</v>
      </c>
      <c r="J637" s="12">
        <f t="shared" si="18"/>
        <v>45296</v>
      </c>
      <c r="K637" s="14">
        <f t="shared" si="19"/>
        <v>1</v>
      </c>
      <c r="L637" s="13"/>
      <c r="M637" s="13"/>
    </row>
    <row r="638" spans="1:13" x14ac:dyDescent="0.25">
      <c r="A638" s="1" t="s">
        <v>2173</v>
      </c>
      <c r="B638" s="1" t="s">
        <v>2174</v>
      </c>
      <c r="C638" s="1" t="s">
        <v>2175</v>
      </c>
      <c r="D638" s="1" t="s">
        <v>45</v>
      </c>
      <c r="E638" s="1" t="s">
        <v>1258</v>
      </c>
      <c r="F638" s="1" t="s">
        <v>75</v>
      </c>
      <c r="G638" s="1" t="s">
        <v>15</v>
      </c>
      <c r="H638" s="1" t="s">
        <v>30</v>
      </c>
      <c r="I638" s="1">
        <v>1438</v>
      </c>
      <c r="J638" s="12">
        <f t="shared" si="18"/>
        <v>45324</v>
      </c>
      <c r="K638" s="14">
        <f t="shared" si="19"/>
        <v>2</v>
      </c>
      <c r="L638" s="13"/>
      <c r="M638" s="13"/>
    </row>
    <row r="639" spans="1:13" x14ac:dyDescent="0.25">
      <c r="A639" s="1" t="s">
        <v>2176</v>
      </c>
      <c r="B639" s="1" t="s">
        <v>2147</v>
      </c>
      <c r="C639" s="1" t="s">
        <v>2177</v>
      </c>
      <c r="D639" s="1" t="s">
        <v>45</v>
      </c>
      <c r="E639" s="1" t="s">
        <v>2178</v>
      </c>
      <c r="F639" s="1" t="s">
        <v>75</v>
      </c>
      <c r="G639" s="1" t="s">
        <v>23</v>
      </c>
      <c r="H639" s="1" t="s">
        <v>55</v>
      </c>
      <c r="I639" s="1">
        <v>2308</v>
      </c>
      <c r="J639" s="12">
        <f t="shared" si="18"/>
        <v>45319</v>
      </c>
      <c r="K639" s="14">
        <f t="shared" si="19"/>
        <v>1</v>
      </c>
      <c r="L639" s="13"/>
      <c r="M639" s="13"/>
    </row>
    <row r="640" spans="1:13" x14ac:dyDescent="0.25">
      <c r="A640" s="1" t="s">
        <v>412</v>
      </c>
      <c r="B640" s="1" t="s">
        <v>2179</v>
      </c>
      <c r="C640" s="1" t="s">
        <v>2180</v>
      </c>
      <c r="D640" s="1" t="s">
        <v>20</v>
      </c>
      <c r="E640" s="1" t="s">
        <v>2181</v>
      </c>
      <c r="F640" s="1" t="s">
        <v>29</v>
      </c>
      <c r="G640" s="1" t="s">
        <v>15</v>
      </c>
      <c r="H640" s="1" t="s">
        <v>30</v>
      </c>
      <c r="I640" s="1">
        <v>0</v>
      </c>
      <c r="J640" s="12">
        <f t="shared" si="18"/>
        <v>45296</v>
      </c>
      <c r="K640" s="14">
        <f t="shared" si="19"/>
        <v>1</v>
      </c>
      <c r="L640" s="13"/>
      <c r="M640" s="13"/>
    </row>
    <row r="641" spans="1:13" x14ac:dyDescent="0.25">
      <c r="A641" s="1" t="s">
        <v>2182</v>
      </c>
      <c r="B641" s="1" t="s">
        <v>2183</v>
      </c>
      <c r="C641" s="1" t="s">
        <v>2184</v>
      </c>
      <c r="D641" s="1" t="s">
        <v>45</v>
      </c>
      <c r="E641" s="1" t="s">
        <v>1184</v>
      </c>
      <c r="F641" s="1" t="s">
        <v>40</v>
      </c>
      <c r="G641" s="1" t="s">
        <v>23</v>
      </c>
      <c r="H641" s="1" t="s">
        <v>24</v>
      </c>
      <c r="I641" s="1">
        <v>4383</v>
      </c>
      <c r="J641" s="12">
        <f t="shared" si="18"/>
        <v>45312</v>
      </c>
      <c r="K641" s="14">
        <f t="shared" si="19"/>
        <v>1</v>
      </c>
      <c r="L641" s="13"/>
      <c r="M641" s="13"/>
    </row>
    <row r="642" spans="1:13" x14ac:dyDescent="0.25">
      <c r="A642" s="1" t="s">
        <v>2185</v>
      </c>
      <c r="B642" s="1" t="s">
        <v>2186</v>
      </c>
      <c r="C642" s="1" t="s">
        <v>2187</v>
      </c>
      <c r="D642" s="1" t="s">
        <v>20</v>
      </c>
      <c r="E642" s="1" t="s">
        <v>925</v>
      </c>
      <c r="F642" s="1" t="s">
        <v>75</v>
      </c>
      <c r="G642" s="1" t="s">
        <v>15</v>
      </c>
      <c r="H642" s="1" t="s">
        <v>16</v>
      </c>
      <c r="I642" s="1">
        <v>0</v>
      </c>
      <c r="J642" s="12">
        <f t="shared" si="18"/>
        <v>45309</v>
      </c>
      <c r="K642" s="14">
        <f t="shared" si="19"/>
        <v>1</v>
      </c>
      <c r="L642" s="13"/>
      <c r="M642" s="13"/>
    </row>
    <row r="643" spans="1:13" x14ac:dyDescent="0.25">
      <c r="A643" s="1" t="s">
        <v>1991</v>
      </c>
      <c r="B643" s="1" t="s">
        <v>2188</v>
      </c>
      <c r="C643" s="1" t="s">
        <v>2189</v>
      </c>
      <c r="D643" s="1" t="s">
        <v>45</v>
      </c>
      <c r="E643" s="1" t="s">
        <v>1947</v>
      </c>
      <c r="F643" s="1" t="s">
        <v>40</v>
      </c>
      <c r="G643" s="1" t="s">
        <v>15</v>
      </c>
      <c r="H643" s="1" t="s">
        <v>16</v>
      </c>
      <c r="I643" s="1">
        <v>4116</v>
      </c>
      <c r="J643" s="12">
        <f t="shared" si="18"/>
        <v>45303</v>
      </c>
      <c r="K643" s="14">
        <f t="shared" si="19"/>
        <v>1</v>
      </c>
      <c r="L643" s="13"/>
      <c r="M643" s="13"/>
    </row>
    <row r="644" spans="1:13" x14ac:dyDescent="0.25">
      <c r="A644" s="1" t="s">
        <v>1154</v>
      </c>
      <c r="B644" s="1" t="s">
        <v>2190</v>
      </c>
      <c r="C644" s="1" t="s">
        <v>2191</v>
      </c>
      <c r="D644" s="1" t="s">
        <v>20</v>
      </c>
      <c r="E644" s="1" t="s">
        <v>2192</v>
      </c>
      <c r="F644" s="1" t="s">
        <v>75</v>
      </c>
      <c r="G644" s="1" t="s">
        <v>35</v>
      </c>
      <c r="H644" s="1" t="s">
        <v>55</v>
      </c>
      <c r="I644" s="1">
        <v>0</v>
      </c>
      <c r="J644" s="12">
        <f t="shared" ref="J644:J707" si="20">INT(C644)</f>
        <v>45315</v>
      </c>
      <c r="K644" s="14">
        <f t="shared" ref="K644:K707" si="21">MONTH(C644)</f>
        <v>1</v>
      </c>
      <c r="L644" s="13"/>
      <c r="M644" s="13"/>
    </row>
    <row r="645" spans="1:13" x14ac:dyDescent="0.25">
      <c r="A645" s="1" t="s">
        <v>2193</v>
      </c>
      <c r="B645" s="1" t="s">
        <v>2194</v>
      </c>
      <c r="C645" s="1" t="s">
        <v>2195</v>
      </c>
      <c r="D645" s="1" t="s">
        <v>20</v>
      </c>
      <c r="E645" s="1" t="s">
        <v>1787</v>
      </c>
      <c r="F645" s="1" t="s">
        <v>22</v>
      </c>
      <c r="G645" s="1" t="s">
        <v>23</v>
      </c>
      <c r="H645" s="1" t="s">
        <v>41</v>
      </c>
      <c r="I645" s="1">
        <v>0</v>
      </c>
      <c r="J645" s="12">
        <f t="shared" si="20"/>
        <v>45292</v>
      </c>
      <c r="K645" s="14">
        <f t="shared" si="21"/>
        <v>1</v>
      </c>
      <c r="L645" s="13"/>
      <c r="M645" s="13"/>
    </row>
    <row r="646" spans="1:13" x14ac:dyDescent="0.25">
      <c r="A646" s="1" t="s">
        <v>1625</v>
      </c>
      <c r="B646" s="1" t="s">
        <v>2196</v>
      </c>
      <c r="C646" s="1" t="s">
        <v>2197</v>
      </c>
      <c r="D646" s="1" t="s">
        <v>20</v>
      </c>
      <c r="E646" s="1" t="s">
        <v>2198</v>
      </c>
      <c r="F646" s="1" t="s">
        <v>40</v>
      </c>
      <c r="G646" s="1" t="s">
        <v>35</v>
      </c>
      <c r="H646" s="1" t="s">
        <v>24</v>
      </c>
      <c r="I646" s="1">
        <v>0</v>
      </c>
      <c r="J646" s="12">
        <f t="shared" si="20"/>
        <v>45312</v>
      </c>
      <c r="K646" s="14">
        <f t="shared" si="21"/>
        <v>1</v>
      </c>
      <c r="L646" s="13"/>
      <c r="M646" s="13"/>
    </row>
    <row r="647" spans="1:13" x14ac:dyDescent="0.25">
      <c r="A647" s="1" t="s">
        <v>974</v>
      </c>
      <c r="B647" s="1" t="s">
        <v>2199</v>
      </c>
      <c r="C647" s="1" t="s">
        <v>2200</v>
      </c>
      <c r="D647" s="1" t="s">
        <v>20</v>
      </c>
      <c r="E647" s="1" t="s">
        <v>2201</v>
      </c>
      <c r="F647" s="1" t="s">
        <v>22</v>
      </c>
      <c r="G647" s="1" t="s">
        <v>23</v>
      </c>
      <c r="H647" s="1" t="s">
        <v>41</v>
      </c>
      <c r="I647" s="1">
        <v>0</v>
      </c>
      <c r="J647" s="12">
        <f t="shared" si="20"/>
        <v>45323</v>
      </c>
      <c r="K647" s="14">
        <f t="shared" si="21"/>
        <v>2</v>
      </c>
      <c r="L647" s="13"/>
      <c r="M647" s="13"/>
    </row>
    <row r="648" spans="1:13" x14ac:dyDescent="0.25">
      <c r="A648" s="1" t="s">
        <v>2202</v>
      </c>
      <c r="B648" s="1" t="s">
        <v>2203</v>
      </c>
      <c r="C648" s="1" t="s">
        <v>2204</v>
      </c>
      <c r="D648" s="1" t="s">
        <v>20</v>
      </c>
      <c r="E648" s="1" t="s">
        <v>1498</v>
      </c>
      <c r="F648" s="1" t="s">
        <v>22</v>
      </c>
      <c r="G648" s="1" t="s">
        <v>15</v>
      </c>
      <c r="H648" s="1" t="s">
        <v>41</v>
      </c>
      <c r="I648" s="1">
        <v>0</v>
      </c>
      <c r="J648" s="12">
        <f t="shared" si="20"/>
        <v>45299</v>
      </c>
      <c r="K648" s="14">
        <f t="shared" si="21"/>
        <v>1</v>
      </c>
      <c r="L648" s="13"/>
      <c r="M648" s="13"/>
    </row>
    <row r="649" spans="1:13" x14ac:dyDescent="0.25">
      <c r="A649" s="1" t="s">
        <v>478</v>
      </c>
      <c r="B649" s="1" t="s">
        <v>2205</v>
      </c>
      <c r="C649" s="1" t="s">
        <v>2206</v>
      </c>
      <c r="D649" s="1" t="s">
        <v>12</v>
      </c>
      <c r="E649" s="1" t="s">
        <v>2207</v>
      </c>
      <c r="F649" s="1" t="s">
        <v>40</v>
      </c>
      <c r="G649" s="1" t="s">
        <v>23</v>
      </c>
      <c r="H649" s="1" t="s">
        <v>55</v>
      </c>
      <c r="I649" s="1">
        <v>0</v>
      </c>
      <c r="J649" s="12">
        <f t="shared" si="20"/>
        <v>45306</v>
      </c>
      <c r="K649" s="14">
        <f t="shared" si="21"/>
        <v>1</v>
      </c>
      <c r="L649" s="13"/>
      <c r="M649" s="13"/>
    </row>
    <row r="650" spans="1:13" x14ac:dyDescent="0.25">
      <c r="A650" s="1" t="s">
        <v>2208</v>
      </c>
      <c r="B650" s="1" t="s">
        <v>2209</v>
      </c>
      <c r="C650" s="1" t="s">
        <v>2210</v>
      </c>
      <c r="D650" s="1" t="s">
        <v>45</v>
      </c>
      <c r="E650" s="1" t="s">
        <v>2211</v>
      </c>
      <c r="F650" s="1" t="s">
        <v>40</v>
      </c>
      <c r="G650" s="1" t="s">
        <v>23</v>
      </c>
      <c r="H650" s="1" t="s">
        <v>24</v>
      </c>
      <c r="I650" s="1">
        <v>2300</v>
      </c>
      <c r="J650" s="12">
        <f t="shared" si="20"/>
        <v>45307</v>
      </c>
      <c r="K650" s="14">
        <f t="shared" si="21"/>
        <v>1</v>
      </c>
      <c r="L650" s="13"/>
      <c r="M650" s="13"/>
    </row>
    <row r="651" spans="1:13" x14ac:dyDescent="0.25">
      <c r="A651" s="1" t="s">
        <v>2212</v>
      </c>
      <c r="B651" s="1" t="s">
        <v>2213</v>
      </c>
      <c r="C651" s="1" t="s">
        <v>2214</v>
      </c>
      <c r="D651" s="1" t="s">
        <v>45</v>
      </c>
      <c r="E651" s="1" t="s">
        <v>513</v>
      </c>
      <c r="F651" s="1" t="s">
        <v>14</v>
      </c>
      <c r="G651" s="1" t="s">
        <v>35</v>
      </c>
      <c r="H651" s="1" t="s">
        <v>16</v>
      </c>
      <c r="I651" s="1">
        <v>1999</v>
      </c>
      <c r="J651" s="12">
        <f t="shared" si="20"/>
        <v>45325</v>
      </c>
      <c r="K651" s="14">
        <f t="shared" si="21"/>
        <v>2</v>
      </c>
      <c r="L651" s="13"/>
      <c r="M651" s="13"/>
    </row>
    <row r="652" spans="1:13" x14ac:dyDescent="0.25">
      <c r="A652" s="1" t="s">
        <v>602</v>
      </c>
      <c r="B652" s="1" t="s">
        <v>2215</v>
      </c>
      <c r="C652" s="1" t="s">
        <v>2216</v>
      </c>
      <c r="D652" s="1" t="s">
        <v>12</v>
      </c>
      <c r="E652" s="1" t="s">
        <v>877</v>
      </c>
      <c r="F652" s="1" t="s">
        <v>75</v>
      </c>
      <c r="G652" s="1" t="s">
        <v>23</v>
      </c>
      <c r="H652" s="1" t="s">
        <v>24</v>
      </c>
      <c r="I652" s="1">
        <v>0</v>
      </c>
      <c r="J652" s="12">
        <f t="shared" si="20"/>
        <v>45319</v>
      </c>
      <c r="K652" s="14">
        <f t="shared" si="21"/>
        <v>1</v>
      </c>
      <c r="L652" s="13"/>
      <c r="M652" s="13"/>
    </row>
    <row r="653" spans="1:13" x14ac:dyDescent="0.25">
      <c r="A653" s="1" t="s">
        <v>1009</v>
      </c>
      <c r="B653" s="1" t="s">
        <v>2217</v>
      </c>
      <c r="C653" s="1" t="s">
        <v>2218</v>
      </c>
      <c r="D653" s="1" t="s">
        <v>45</v>
      </c>
      <c r="E653" s="1" t="s">
        <v>1941</v>
      </c>
      <c r="F653" s="1" t="s">
        <v>14</v>
      </c>
      <c r="G653" s="1" t="s">
        <v>23</v>
      </c>
      <c r="H653" s="1" t="s">
        <v>30</v>
      </c>
      <c r="I653" s="1">
        <v>2258</v>
      </c>
      <c r="J653" s="12">
        <f t="shared" si="20"/>
        <v>45319</v>
      </c>
      <c r="K653" s="14">
        <f t="shared" si="21"/>
        <v>1</v>
      </c>
      <c r="L653" s="13"/>
      <c r="M653" s="13"/>
    </row>
    <row r="654" spans="1:13" x14ac:dyDescent="0.25">
      <c r="A654" s="1" t="s">
        <v>67</v>
      </c>
      <c r="B654" s="1" t="s">
        <v>2219</v>
      </c>
      <c r="C654" s="1" t="s">
        <v>2220</v>
      </c>
      <c r="D654" s="1" t="s">
        <v>20</v>
      </c>
      <c r="E654" s="1" t="s">
        <v>1955</v>
      </c>
      <c r="F654" s="1" t="s">
        <v>14</v>
      </c>
      <c r="G654" s="1" t="s">
        <v>23</v>
      </c>
      <c r="H654" s="1" t="s">
        <v>24</v>
      </c>
      <c r="I654" s="1">
        <v>0</v>
      </c>
      <c r="J654" s="12">
        <f t="shared" si="20"/>
        <v>45323</v>
      </c>
      <c r="K654" s="14">
        <f t="shared" si="21"/>
        <v>2</v>
      </c>
      <c r="L654" s="13"/>
      <c r="M654" s="13"/>
    </row>
    <row r="655" spans="1:13" x14ac:dyDescent="0.25">
      <c r="A655" s="1" t="s">
        <v>1205</v>
      </c>
      <c r="B655" s="1" t="s">
        <v>2221</v>
      </c>
      <c r="C655" s="1" t="s">
        <v>2222</v>
      </c>
      <c r="D655" s="1" t="s">
        <v>45</v>
      </c>
      <c r="E655" s="1" t="s">
        <v>1022</v>
      </c>
      <c r="F655" s="1" t="s">
        <v>40</v>
      </c>
      <c r="G655" s="1" t="s">
        <v>15</v>
      </c>
      <c r="H655" s="1" t="s">
        <v>41</v>
      </c>
      <c r="I655" s="1">
        <v>3063</v>
      </c>
      <c r="J655" s="12">
        <f t="shared" si="20"/>
        <v>45297</v>
      </c>
      <c r="K655" s="14">
        <f t="shared" si="21"/>
        <v>1</v>
      </c>
      <c r="L655" s="13"/>
      <c r="M655" s="13"/>
    </row>
    <row r="656" spans="1:13" x14ac:dyDescent="0.25">
      <c r="A656" s="1" t="s">
        <v>2223</v>
      </c>
      <c r="B656" s="1" t="s">
        <v>2224</v>
      </c>
      <c r="C656" s="1" t="s">
        <v>2225</v>
      </c>
      <c r="D656" s="1" t="s">
        <v>45</v>
      </c>
      <c r="E656" s="1" t="s">
        <v>2226</v>
      </c>
      <c r="F656" s="1" t="s">
        <v>40</v>
      </c>
      <c r="G656" s="1" t="s">
        <v>15</v>
      </c>
      <c r="H656" s="1" t="s">
        <v>55</v>
      </c>
      <c r="I656" s="1">
        <v>4906</v>
      </c>
      <c r="J656" s="12">
        <f t="shared" si="20"/>
        <v>45303</v>
      </c>
      <c r="K656" s="14">
        <f t="shared" si="21"/>
        <v>1</v>
      </c>
      <c r="L656" s="13"/>
      <c r="M656" s="13"/>
    </row>
    <row r="657" spans="1:13" x14ac:dyDescent="0.25">
      <c r="A657" s="1" t="s">
        <v>299</v>
      </c>
      <c r="B657" s="1" t="s">
        <v>2227</v>
      </c>
      <c r="C657" s="1" t="s">
        <v>2228</v>
      </c>
      <c r="D657" s="1" t="s">
        <v>20</v>
      </c>
      <c r="E657" s="1" t="s">
        <v>2229</v>
      </c>
      <c r="F657" s="1" t="s">
        <v>75</v>
      </c>
      <c r="G657" s="1" t="s">
        <v>35</v>
      </c>
      <c r="H657" s="1" t="s">
        <v>55</v>
      </c>
      <c r="I657" s="1">
        <v>0</v>
      </c>
      <c r="J657" s="12">
        <f t="shared" si="20"/>
        <v>45315</v>
      </c>
      <c r="K657" s="14">
        <f t="shared" si="21"/>
        <v>1</v>
      </c>
      <c r="L657" s="13"/>
      <c r="M657" s="13"/>
    </row>
    <row r="658" spans="1:13" x14ac:dyDescent="0.25">
      <c r="A658" s="1" t="s">
        <v>1965</v>
      </c>
      <c r="B658" s="1" t="s">
        <v>2230</v>
      </c>
      <c r="C658" s="1" t="s">
        <v>2231</v>
      </c>
      <c r="D658" s="1" t="s">
        <v>20</v>
      </c>
      <c r="E658" s="1" t="s">
        <v>2232</v>
      </c>
      <c r="F658" s="1" t="s">
        <v>29</v>
      </c>
      <c r="G658" s="1" t="s">
        <v>15</v>
      </c>
      <c r="H658" s="1" t="s">
        <v>24</v>
      </c>
      <c r="I658" s="1">
        <v>0</v>
      </c>
      <c r="J658" s="12">
        <f t="shared" si="20"/>
        <v>45292</v>
      </c>
      <c r="K658" s="14">
        <f t="shared" si="21"/>
        <v>1</v>
      </c>
      <c r="L658" s="13"/>
      <c r="M658" s="13"/>
    </row>
    <row r="659" spans="1:13" x14ac:dyDescent="0.25">
      <c r="A659" s="1" t="s">
        <v>1530</v>
      </c>
      <c r="B659" s="1" t="s">
        <v>2233</v>
      </c>
      <c r="C659" s="1" t="s">
        <v>2234</v>
      </c>
      <c r="D659" s="1" t="s">
        <v>12</v>
      </c>
      <c r="E659" s="1" t="s">
        <v>1391</v>
      </c>
      <c r="F659" s="1" t="s">
        <v>22</v>
      </c>
      <c r="G659" s="1" t="s">
        <v>35</v>
      </c>
      <c r="H659" s="1" t="s">
        <v>30</v>
      </c>
      <c r="I659" s="1">
        <v>0</v>
      </c>
      <c r="J659" s="12">
        <f t="shared" si="20"/>
        <v>45300</v>
      </c>
      <c r="K659" s="14">
        <f t="shared" si="21"/>
        <v>1</v>
      </c>
      <c r="L659" s="13"/>
      <c r="M659" s="13"/>
    </row>
    <row r="660" spans="1:13" x14ac:dyDescent="0.25">
      <c r="A660" s="1" t="s">
        <v>1377</v>
      </c>
      <c r="B660" s="1" t="s">
        <v>2235</v>
      </c>
      <c r="C660" s="1" t="s">
        <v>2236</v>
      </c>
      <c r="D660" s="1" t="s">
        <v>20</v>
      </c>
      <c r="E660" s="1" t="s">
        <v>1012</v>
      </c>
      <c r="F660" s="1" t="s">
        <v>40</v>
      </c>
      <c r="G660" s="1" t="s">
        <v>23</v>
      </c>
      <c r="H660" s="1" t="s">
        <v>41</v>
      </c>
      <c r="I660" s="1">
        <v>0</v>
      </c>
      <c r="J660" s="12">
        <f t="shared" si="20"/>
        <v>45298</v>
      </c>
      <c r="K660" s="14">
        <f t="shared" si="21"/>
        <v>1</v>
      </c>
      <c r="L660" s="13"/>
      <c r="M660" s="13"/>
    </row>
    <row r="661" spans="1:13" x14ac:dyDescent="0.25">
      <c r="A661" s="1" t="s">
        <v>147</v>
      </c>
      <c r="B661" s="1" t="s">
        <v>2237</v>
      </c>
      <c r="C661" s="1" t="s">
        <v>2238</v>
      </c>
      <c r="D661" s="1" t="s">
        <v>12</v>
      </c>
      <c r="E661" s="1" t="s">
        <v>2239</v>
      </c>
      <c r="F661" s="1" t="s">
        <v>22</v>
      </c>
      <c r="G661" s="1" t="s">
        <v>15</v>
      </c>
      <c r="H661" s="1" t="s">
        <v>55</v>
      </c>
      <c r="I661" s="1">
        <v>0</v>
      </c>
      <c r="J661" s="12">
        <f t="shared" si="20"/>
        <v>45322</v>
      </c>
      <c r="K661" s="14">
        <f t="shared" si="21"/>
        <v>1</v>
      </c>
      <c r="L661" s="13"/>
      <c r="M661" s="13"/>
    </row>
    <row r="662" spans="1:13" x14ac:dyDescent="0.25">
      <c r="A662" s="1" t="s">
        <v>2240</v>
      </c>
      <c r="B662" s="1" t="s">
        <v>2241</v>
      </c>
      <c r="C662" s="1" t="s">
        <v>2242</v>
      </c>
      <c r="D662" s="1" t="s">
        <v>12</v>
      </c>
      <c r="E662" s="1" t="s">
        <v>2243</v>
      </c>
      <c r="F662" s="1" t="s">
        <v>29</v>
      </c>
      <c r="G662" s="1" t="s">
        <v>15</v>
      </c>
      <c r="H662" s="1" t="s">
        <v>55</v>
      </c>
      <c r="I662" s="1">
        <v>0</v>
      </c>
      <c r="J662" s="12">
        <f t="shared" si="20"/>
        <v>45300</v>
      </c>
      <c r="K662" s="14">
        <f t="shared" si="21"/>
        <v>1</v>
      </c>
      <c r="L662" s="13"/>
      <c r="M662" s="13"/>
    </row>
    <row r="663" spans="1:13" x14ac:dyDescent="0.25">
      <c r="A663" s="1" t="s">
        <v>1349</v>
      </c>
      <c r="B663" s="1" t="s">
        <v>2244</v>
      </c>
      <c r="C663" s="1" t="s">
        <v>2245</v>
      </c>
      <c r="D663" s="1" t="s">
        <v>20</v>
      </c>
      <c r="E663" s="1" t="s">
        <v>2246</v>
      </c>
      <c r="F663" s="1" t="s">
        <v>14</v>
      </c>
      <c r="G663" s="1" t="s">
        <v>15</v>
      </c>
      <c r="H663" s="1" t="s">
        <v>55</v>
      </c>
      <c r="I663" s="1">
        <v>0</v>
      </c>
      <c r="J663" s="12">
        <f t="shared" si="20"/>
        <v>45317</v>
      </c>
      <c r="K663" s="14">
        <f t="shared" si="21"/>
        <v>1</v>
      </c>
      <c r="L663" s="13"/>
      <c r="M663" s="13"/>
    </row>
    <row r="664" spans="1:13" x14ac:dyDescent="0.25">
      <c r="A664" s="1" t="s">
        <v>2247</v>
      </c>
      <c r="B664" s="1" t="s">
        <v>2248</v>
      </c>
      <c r="C664" s="1" t="s">
        <v>2249</v>
      </c>
      <c r="D664" s="1" t="s">
        <v>45</v>
      </c>
      <c r="E664" s="1" t="s">
        <v>2250</v>
      </c>
      <c r="F664" s="1" t="s">
        <v>29</v>
      </c>
      <c r="G664" s="1" t="s">
        <v>23</v>
      </c>
      <c r="H664" s="1" t="s">
        <v>41</v>
      </c>
      <c r="I664" s="1">
        <v>470</v>
      </c>
      <c r="J664" s="12">
        <f t="shared" si="20"/>
        <v>45296</v>
      </c>
      <c r="K664" s="14">
        <f t="shared" si="21"/>
        <v>1</v>
      </c>
      <c r="L664" s="13"/>
      <c r="M664" s="13"/>
    </row>
    <row r="665" spans="1:13" x14ac:dyDescent="0.25">
      <c r="A665" s="1" t="s">
        <v>2251</v>
      </c>
      <c r="B665" s="1" t="s">
        <v>2252</v>
      </c>
      <c r="C665" s="1" t="s">
        <v>2253</v>
      </c>
      <c r="D665" s="1" t="s">
        <v>12</v>
      </c>
      <c r="E665" s="1" t="s">
        <v>1391</v>
      </c>
      <c r="F665" s="1" t="s">
        <v>14</v>
      </c>
      <c r="G665" s="1" t="s">
        <v>23</v>
      </c>
      <c r="H665" s="1" t="s">
        <v>30</v>
      </c>
      <c r="I665" s="1">
        <v>0</v>
      </c>
      <c r="J665" s="12">
        <f t="shared" si="20"/>
        <v>45293</v>
      </c>
      <c r="K665" s="14">
        <f t="shared" si="21"/>
        <v>1</v>
      </c>
      <c r="L665" s="13"/>
      <c r="M665" s="13"/>
    </row>
    <row r="666" spans="1:13" x14ac:dyDescent="0.25">
      <c r="A666" s="1" t="s">
        <v>1361</v>
      </c>
      <c r="B666" s="1" t="s">
        <v>2254</v>
      </c>
      <c r="C666" s="1" t="s">
        <v>2255</v>
      </c>
      <c r="D666" s="1" t="s">
        <v>12</v>
      </c>
      <c r="E666" s="1" t="s">
        <v>914</v>
      </c>
      <c r="F666" s="1" t="s">
        <v>14</v>
      </c>
      <c r="G666" s="1" t="s">
        <v>35</v>
      </c>
      <c r="H666" s="1" t="s">
        <v>41</v>
      </c>
      <c r="I666" s="1">
        <v>0</v>
      </c>
      <c r="J666" s="12">
        <f t="shared" si="20"/>
        <v>45325</v>
      </c>
      <c r="K666" s="14">
        <f t="shared" si="21"/>
        <v>2</v>
      </c>
      <c r="L666" s="13"/>
      <c r="M666" s="13"/>
    </row>
    <row r="667" spans="1:13" x14ac:dyDescent="0.25">
      <c r="A667" s="1" t="s">
        <v>2256</v>
      </c>
      <c r="B667" s="1" t="s">
        <v>2257</v>
      </c>
      <c r="C667" s="1" t="s">
        <v>2258</v>
      </c>
      <c r="D667" s="1" t="s">
        <v>12</v>
      </c>
      <c r="E667" s="1" t="s">
        <v>1667</v>
      </c>
      <c r="F667" s="1" t="s">
        <v>40</v>
      </c>
      <c r="G667" s="1" t="s">
        <v>15</v>
      </c>
      <c r="H667" s="1" t="s">
        <v>30</v>
      </c>
      <c r="I667" s="1">
        <v>0</v>
      </c>
      <c r="J667" s="12">
        <f t="shared" si="20"/>
        <v>45306</v>
      </c>
      <c r="K667" s="14">
        <f t="shared" si="21"/>
        <v>1</v>
      </c>
      <c r="L667" s="13"/>
      <c r="M667" s="13"/>
    </row>
    <row r="668" spans="1:13" x14ac:dyDescent="0.25">
      <c r="A668" s="1" t="s">
        <v>2259</v>
      </c>
      <c r="B668" s="1" t="s">
        <v>2260</v>
      </c>
      <c r="C668" s="1" t="s">
        <v>2261</v>
      </c>
      <c r="D668" s="1" t="s">
        <v>20</v>
      </c>
      <c r="E668" s="1" t="s">
        <v>302</v>
      </c>
      <c r="F668" s="1" t="s">
        <v>40</v>
      </c>
      <c r="G668" s="1" t="s">
        <v>23</v>
      </c>
      <c r="H668" s="1" t="s">
        <v>16</v>
      </c>
      <c r="I668" s="1">
        <v>0</v>
      </c>
      <c r="J668" s="12">
        <f t="shared" si="20"/>
        <v>45310</v>
      </c>
      <c r="K668" s="14">
        <f t="shared" si="21"/>
        <v>1</v>
      </c>
      <c r="L668" s="13"/>
      <c r="M668" s="13"/>
    </row>
    <row r="669" spans="1:13" x14ac:dyDescent="0.25">
      <c r="A669" s="1" t="s">
        <v>590</v>
      </c>
      <c r="B669" s="1" t="s">
        <v>2262</v>
      </c>
      <c r="C669" s="1" t="s">
        <v>2263</v>
      </c>
      <c r="D669" s="1" t="s">
        <v>20</v>
      </c>
      <c r="E669" s="1" t="s">
        <v>2264</v>
      </c>
      <c r="F669" s="1" t="s">
        <v>29</v>
      </c>
      <c r="G669" s="1" t="s">
        <v>15</v>
      </c>
      <c r="H669" s="1" t="s">
        <v>30</v>
      </c>
      <c r="I669" s="1">
        <v>0</v>
      </c>
      <c r="J669" s="12">
        <f t="shared" si="20"/>
        <v>45321</v>
      </c>
      <c r="K669" s="14">
        <f t="shared" si="21"/>
        <v>1</v>
      </c>
      <c r="L669" s="13"/>
      <c r="M669" s="13"/>
    </row>
    <row r="670" spans="1:13" x14ac:dyDescent="0.25">
      <c r="A670" s="1" t="s">
        <v>616</v>
      </c>
      <c r="B670" s="1" t="s">
        <v>2265</v>
      </c>
      <c r="C670" s="1" t="s">
        <v>2266</v>
      </c>
      <c r="D670" s="1" t="s">
        <v>45</v>
      </c>
      <c r="E670" s="1" t="s">
        <v>2267</v>
      </c>
      <c r="F670" s="1" t="s">
        <v>40</v>
      </c>
      <c r="G670" s="1" t="s">
        <v>15</v>
      </c>
      <c r="H670" s="1" t="s">
        <v>16</v>
      </c>
      <c r="I670" s="1">
        <v>1793</v>
      </c>
      <c r="J670" s="12">
        <f t="shared" si="20"/>
        <v>45321</v>
      </c>
      <c r="K670" s="14">
        <f t="shared" si="21"/>
        <v>1</v>
      </c>
      <c r="L670" s="13"/>
      <c r="M670" s="13"/>
    </row>
    <row r="671" spans="1:13" x14ac:dyDescent="0.25">
      <c r="A671" s="1" t="s">
        <v>626</v>
      </c>
      <c r="B671" s="1" t="s">
        <v>2268</v>
      </c>
      <c r="C671" s="1" t="s">
        <v>1676</v>
      </c>
      <c r="D671" s="1" t="s">
        <v>20</v>
      </c>
      <c r="E671" s="1" t="s">
        <v>1064</v>
      </c>
      <c r="F671" s="1" t="s">
        <v>40</v>
      </c>
      <c r="G671" s="1" t="s">
        <v>15</v>
      </c>
      <c r="H671" s="1" t="s">
        <v>16</v>
      </c>
      <c r="I671" s="1">
        <v>0</v>
      </c>
      <c r="J671" s="12">
        <f t="shared" si="20"/>
        <v>45318</v>
      </c>
      <c r="K671" s="14">
        <f t="shared" si="21"/>
        <v>1</v>
      </c>
      <c r="L671" s="13"/>
      <c r="M671" s="13"/>
    </row>
    <row r="672" spans="1:13" x14ac:dyDescent="0.25">
      <c r="A672" s="1" t="s">
        <v>198</v>
      </c>
      <c r="B672" s="1" t="s">
        <v>2269</v>
      </c>
      <c r="C672" s="1" t="s">
        <v>2270</v>
      </c>
      <c r="D672" s="1" t="s">
        <v>45</v>
      </c>
      <c r="E672" s="1" t="s">
        <v>1132</v>
      </c>
      <c r="F672" s="1" t="s">
        <v>29</v>
      </c>
      <c r="G672" s="1" t="s">
        <v>35</v>
      </c>
      <c r="H672" s="1" t="s">
        <v>41</v>
      </c>
      <c r="I672" s="1">
        <v>1878</v>
      </c>
      <c r="J672" s="12">
        <f t="shared" si="20"/>
        <v>45318</v>
      </c>
      <c r="K672" s="14">
        <f t="shared" si="21"/>
        <v>1</v>
      </c>
      <c r="L672" s="13"/>
      <c r="M672" s="13"/>
    </row>
    <row r="673" spans="1:13" x14ac:dyDescent="0.25">
      <c r="A673" s="1" t="s">
        <v>2271</v>
      </c>
      <c r="B673" s="1" t="s">
        <v>2272</v>
      </c>
      <c r="C673" s="1" t="s">
        <v>2273</v>
      </c>
      <c r="D673" s="1" t="s">
        <v>45</v>
      </c>
      <c r="E673" s="1" t="s">
        <v>2274</v>
      </c>
      <c r="F673" s="1" t="s">
        <v>22</v>
      </c>
      <c r="G673" s="1" t="s">
        <v>35</v>
      </c>
      <c r="H673" s="1" t="s">
        <v>24</v>
      </c>
      <c r="I673" s="1">
        <v>2264</v>
      </c>
      <c r="J673" s="12">
        <f t="shared" si="20"/>
        <v>45326</v>
      </c>
      <c r="K673" s="14">
        <f t="shared" si="21"/>
        <v>2</v>
      </c>
      <c r="L673" s="13"/>
      <c r="M673" s="13"/>
    </row>
    <row r="674" spans="1:13" x14ac:dyDescent="0.25">
      <c r="A674" s="1" t="s">
        <v>2034</v>
      </c>
      <c r="B674" s="1" t="s">
        <v>2275</v>
      </c>
      <c r="C674" s="1" t="s">
        <v>2276</v>
      </c>
      <c r="D674" s="1" t="s">
        <v>12</v>
      </c>
      <c r="E674" s="1" t="s">
        <v>2277</v>
      </c>
      <c r="F674" s="1" t="s">
        <v>22</v>
      </c>
      <c r="G674" s="1" t="s">
        <v>35</v>
      </c>
      <c r="H674" s="1" t="s">
        <v>16</v>
      </c>
      <c r="I674" s="1">
        <v>0</v>
      </c>
      <c r="J674" s="12">
        <f t="shared" si="20"/>
        <v>45325</v>
      </c>
      <c r="K674" s="14">
        <f t="shared" si="21"/>
        <v>2</v>
      </c>
      <c r="L674" s="13"/>
      <c r="M674" s="13"/>
    </row>
    <row r="675" spans="1:13" x14ac:dyDescent="0.25">
      <c r="A675" s="1" t="s">
        <v>2278</v>
      </c>
      <c r="B675" s="1" t="s">
        <v>2279</v>
      </c>
      <c r="C675" s="1" t="s">
        <v>2280</v>
      </c>
      <c r="D675" s="1" t="s">
        <v>20</v>
      </c>
      <c r="E675" s="1" t="s">
        <v>753</v>
      </c>
      <c r="F675" s="1" t="s">
        <v>40</v>
      </c>
      <c r="G675" s="1" t="s">
        <v>15</v>
      </c>
      <c r="H675" s="1" t="s">
        <v>55</v>
      </c>
      <c r="I675" s="1">
        <v>0</v>
      </c>
      <c r="J675" s="12">
        <f t="shared" si="20"/>
        <v>45299</v>
      </c>
      <c r="K675" s="14">
        <f t="shared" si="21"/>
        <v>1</v>
      </c>
      <c r="L675" s="13"/>
      <c r="M675" s="13"/>
    </row>
    <row r="676" spans="1:13" x14ac:dyDescent="0.25">
      <c r="A676" s="1" t="s">
        <v>2281</v>
      </c>
      <c r="B676" s="1" t="s">
        <v>996</v>
      </c>
      <c r="C676" s="1" t="s">
        <v>2282</v>
      </c>
      <c r="D676" s="1" t="s">
        <v>12</v>
      </c>
      <c r="E676" s="1" t="s">
        <v>2083</v>
      </c>
      <c r="F676" s="1" t="s">
        <v>14</v>
      </c>
      <c r="G676" s="1" t="s">
        <v>35</v>
      </c>
      <c r="H676" s="1" t="s">
        <v>41</v>
      </c>
      <c r="I676" s="1">
        <v>0</v>
      </c>
      <c r="J676" s="12">
        <f t="shared" si="20"/>
        <v>45319</v>
      </c>
      <c r="K676" s="14">
        <f t="shared" si="21"/>
        <v>1</v>
      </c>
      <c r="L676" s="13"/>
      <c r="M676" s="13"/>
    </row>
    <row r="677" spans="1:13" x14ac:dyDescent="0.25">
      <c r="A677" s="1" t="s">
        <v>1336</v>
      </c>
      <c r="B677" s="1" t="s">
        <v>2283</v>
      </c>
      <c r="C677" s="1" t="s">
        <v>2284</v>
      </c>
      <c r="D677" s="1" t="s">
        <v>12</v>
      </c>
      <c r="E677" s="1" t="s">
        <v>2285</v>
      </c>
      <c r="F677" s="1" t="s">
        <v>29</v>
      </c>
      <c r="G677" s="1" t="s">
        <v>35</v>
      </c>
      <c r="H677" s="1" t="s">
        <v>30</v>
      </c>
      <c r="I677" s="1">
        <v>0</v>
      </c>
      <c r="J677" s="12">
        <f t="shared" si="20"/>
        <v>45297</v>
      </c>
      <c r="K677" s="14">
        <f t="shared" si="21"/>
        <v>1</v>
      </c>
      <c r="L677" s="13"/>
      <c r="M677" s="13"/>
    </row>
    <row r="678" spans="1:13" x14ac:dyDescent="0.25">
      <c r="A678" s="1" t="s">
        <v>2286</v>
      </c>
      <c r="B678" s="1" t="s">
        <v>2287</v>
      </c>
      <c r="C678" s="1" t="s">
        <v>2288</v>
      </c>
      <c r="D678" s="1" t="s">
        <v>45</v>
      </c>
      <c r="E678" s="1" t="s">
        <v>1306</v>
      </c>
      <c r="F678" s="1" t="s">
        <v>29</v>
      </c>
      <c r="G678" s="1" t="s">
        <v>35</v>
      </c>
      <c r="H678" s="1" t="s">
        <v>41</v>
      </c>
      <c r="I678" s="1">
        <v>3986</v>
      </c>
      <c r="J678" s="12">
        <f t="shared" si="20"/>
        <v>45324</v>
      </c>
      <c r="K678" s="14">
        <f t="shared" si="21"/>
        <v>2</v>
      </c>
      <c r="L678" s="13"/>
      <c r="M678" s="13"/>
    </row>
    <row r="679" spans="1:13" x14ac:dyDescent="0.25">
      <c r="A679" s="1" t="s">
        <v>874</v>
      </c>
      <c r="B679" s="1" t="s">
        <v>2287</v>
      </c>
      <c r="C679" s="1" t="s">
        <v>2289</v>
      </c>
      <c r="D679" s="1" t="s">
        <v>12</v>
      </c>
      <c r="E679" s="1" t="s">
        <v>2290</v>
      </c>
      <c r="F679" s="1" t="s">
        <v>40</v>
      </c>
      <c r="G679" s="1" t="s">
        <v>23</v>
      </c>
      <c r="H679" s="1" t="s">
        <v>41</v>
      </c>
      <c r="I679" s="1">
        <v>0</v>
      </c>
      <c r="J679" s="12">
        <f t="shared" si="20"/>
        <v>45321</v>
      </c>
      <c r="K679" s="14">
        <f t="shared" si="21"/>
        <v>1</v>
      </c>
      <c r="L679" s="13"/>
      <c r="M679" s="13"/>
    </row>
    <row r="680" spans="1:13" x14ac:dyDescent="0.25">
      <c r="A680" s="1" t="s">
        <v>2259</v>
      </c>
      <c r="B680" s="1" t="s">
        <v>2291</v>
      </c>
      <c r="C680" s="1" t="s">
        <v>2292</v>
      </c>
      <c r="D680" s="1" t="s">
        <v>12</v>
      </c>
      <c r="E680" s="1" t="s">
        <v>1037</v>
      </c>
      <c r="F680" s="1" t="s">
        <v>40</v>
      </c>
      <c r="G680" s="1" t="s">
        <v>23</v>
      </c>
      <c r="H680" s="1" t="s">
        <v>16</v>
      </c>
      <c r="I680" s="1">
        <v>0</v>
      </c>
      <c r="J680" s="12">
        <f t="shared" si="20"/>
        <v>45294</v>
      </c>
      <c r="K680" s="14">
        <f t="shared" si="21"/>
        <v>1</v>
      </c>
      <c r="L680" s="13"/>
      <c r="M680" s="13"/>
    </row>
    <row r="681" spans="1:13" x14ac:dyDescent="0.25">
      <c r="A681" s="1" t="s">
        <v>1116</v>
      </c>
      <c r="B681" s="1" t="s">
        <v>2293</v>
      </c>
      <c r="C681" s="1" t="s">
        <v>2294</v>
      </c>
      <c r="D681" s="1" t="s">
        <v>12</v>
      </c>
      <c r="E681" s="1" t="s">
        <v>1306</v>
      </c>
      <c r="F681" s="1" t="s">
        <v>14</v>
      </c>
      <c r="G681" s="1" t="s">
        <v>15</v>
      </c>
      <c r="H681" s="1" t="s">
        <v>30</v>
      </c>
      <c r="I681" s="1">
        <v>0</v>
      </c>
      <c r="J681" s="12">
        <f t="shared" si="20"/>
        <v>45295</v>
      </c>
      <c r="K681" s="14">
        <f t="shared" si="21"/>
        <v>1</v>
      </c>
      <c r="L681" s="13"/>
      <c r="M681" s="13"/>
    </row>
    <row r="682" spans="1:13" x14ac:dyDescent="0.25">
      <c r="A682" s="1" t="s">
        <v>222</v>
      </c>
      <c r="B682" s="1" t="s">
        <v>2295</v>
      </c>
      <c r="C682" s="1" t="s">
        <v>2296</v>
      </c>
      <c r="D682" s="1" t="s">
        <v>12</v>
      </c>
      <c r="E682" s="1" t="s">
        <v>2297</v>
      </c>
      <c r="F682" s="1" t="s">
        <v>75</v>
      </c>
      <c r="G682" s="1" t="s">
        <v>35</v>
      </c>
      <c r="H682" s="1" t="s">
        <v>24</v>
      </c>
      <c r="I682" s="1">
        <v>0</v>
      </c>
      <c r="J682" s="12">
        <f t="shared" si="20"/>
        <v>45298</v>
      </c>
      <c r="K682" s="14">
        <f t="shared" si="21"/>
        <v>1</v>
      </c>
      <c r="L682" s="13"/>
      <c r="M682" s="13"/>
    </row>
    <row r="683" spans="1:13" x14ac:dyDescent="0.25">
      <c r="A683" s="1" t="s">
        <v>1956</v>
      </c>
      <c r="B683" s="1" t="s">
        <v>2298</v>
      </c>
      <c r="C683" s="1" t="s">
        <v>2299</v>
      </c>
      <c r="D683" s="1" t="s">
        <v>20</v>
      </c>
      <c r="E683" s="1" t="s">
        <v>2300</v>
      </c>
      <c r="F683" s="1" t="s">
        <v>40</v>
      </c>
      <c r="G683" s="1" t="s">
        <v>23</v>
      </c>
      <c r="H683" s="1" t="s">
        <v>24</v>
      </c>
      <c r="I683" s="1">
        <v>0</v>
      </c>
      <c r="J683" s="12">
        <f t="shared" si="20"/>
        <v>45303</v>
      </c>
      <c r="K683" s="14">
        <f t="shared" si="21"/>
        <v>1</v>
      </c>
      <c r="L683" s="13"/>
      <c r="M683" s="13"/>
    </row>
    <row r="684" spans="1:13" x14ac:dyDescent="0.25">
      <c r="A684" s="1" t="s">
        <v>977</v>
      </c>
      <c r="B684" s="1" t="s">
        <v>2301</v>
      </c>
      <c r="C684" s="1" t="s">
        <v>2302</v>
      </c>
      <c r="D684" s="1" t="s">
        <v>45</v>
      </c>
      <c r="E684" s="1" t="s">
        <v>2303</v>
      </c>
      <c r="F684" s="1" t="s">
        <v>40</v>
      </c>
      <c r="G684" s="1" t="s">
        <v>15</v>
      </c>
      <c r="H684" s="1" t="s">
        <v>24</v>
      </c>
      <c r="I684" s="1">
        <v>2585</v>
      </c>
      <c r="J684" s="12">
        <f t="shared" si="20"/>
        <v>45294</v>
      </c>
      <c r="K684" s="14">
        <f t="shared" si="21"/>
        <v>1</v>
      </c>
      <c r="L684" s="13"/>
      <c r="M684" s="13"/>
    </row>
    <row r="685" spans="1:13" x14ac:dyDescent="0.25">
      <c r="A685" s="1" t="s">
        <v>2304</v>
      </c>
      <c r="B685" s="1" t="s">
        <v>2305</v>
      </c>
      <c r="C685" s="1" t="s">
        <v>2306</v>
      </c>
      <c r="D685" s="1" t="s">
        <v>45</v>
      </c>
      <c r="E685" s="1" t="s">
        <v>87</v>
      </c>
      <c r="F685" s="1" t="s">
        <v>40</v>
      </c>
      <c r="G685" s="1" t="s">
        <v>15</v>
      </c>
      <c r="H685" s="1" t="s">
        <v>41</v>
      </c>
      <c r="I685" s="1">
        <v>1823</v>
      </c>
      <c r="J685" s="12">
        <f t="shared" si="20"/>
        <v>45297</v>
      </c>
      <c r="K685" s="14">
        <f t="shared" si="21"/>
        <v>1</v>
      </c>
      <c r="L685" s="13"/>
      <c r="M685" s="13"/>
    </row>
    <row r="686" spans="1:13" x14ac:dyDescent="0.25">
      <c r="A686" s="1" t="s">
        <v>828</v>
      </c>
      <c r="B686" s="1" t="s">
        <v>2307</v>
      </c>
      <c r="C686" s="1" t="s">
        <v>2308</v>
      </c>
      <c r="D686" s="1" t="s">
        <v>45</v>
      </c>
      <c r="E686" s="1" t="s">
        <v>298</v>
      </c>
      <c r="F686" s="1" t="s">
        <v>14</v>
      </c>
      <c r="G686" s="1" t="s">
        <v>23</v>
      </c>
      <c r="H686" s="1" t="s">
        <v>55</v>
      </c>
      <c r="I686" s="1">
        <v>1845</v>
      </c>
      <c r="J686" s="12">
        <f t="shared" si="20"/>
        <v>45318</v>
      </c>
      <c r="K686" s="14">
        <f t="shared" si="21"/>
        <v>1</v>
      </c>
      <c r="L686" s="13"/>
      <c r="M686" s="13"/>
    </row>
    <row r="687" spans="1:13" x14ac:dyDescent="0.25">
      <c r="A687" s="1" t="s">
        <v>1813</v>
      </c>
      <c r="B687" s="1" t="s">
        <v>2309</v>
      </c>
      <c r="C687" s="1" t="s">
        <v>2310</v>
      </c>
      <c r="D687" s="1" t="s">
        <v>45</v>
      </c>
      <c r="E687" s="1" t="s">
        <v>2311</v>
      </c>
      <c r="F687" s="1" t="s">
        <v>14</v>
      </c>
      <c r="G687" s="1" t="s">
        <v>35</v>
      </c>
      <c r="H687" s="1" t="s">
        <v>41</v>
      </c>
      <c r="I687" s="1">
        <v>4966</v>
      </c>
      <c r="J687" s="12">
        <f t="shared" si="20"/>
        <v>45320</v>
      </c>
      <c r="K687" s="14">
        <f t="shared" si="21"/>
        <v>1</v>
      </c>
      <c r="L687" s="13"/>
      <c r="M687" s="13"/>
    </row>
    <row r="688" spans="1:13" x14ac:dyDescent="0.25">
      <c r="A688" s="1" t="s">
        <v>2312</v>
      </c>
      <c r="B688" s="1" t="s">
        <v>2313</v>
      </c>
      <c r="C688" s="1" t="s">
        <v>2314</v>
      </c>
      <c r="D688" s="1" t="s">
        <v>12</v>
      </c>
      <c r="E688" s="1" t="s">
        <v>1968</v>
      </c>
      <c r="F688" s="1" t="s">
        <v>29</v>
      </c>
      <c r="G688" s="1" t="s">
        <v>23</v>
      </c>
      <c r="H688" s="1" t="s">
        <v>24</v>
      </c>
      <c r="I688" s="1">
        <v>0</v>
      </c>
      <c r="J688" s="12">
        <f t="shared" si="20"/>
        <v>45296</v>
      </c>
      <c r="K688" s="14">
        <f t="shared" si="21"/>
        <v>1</v>
      </c>
      <c r="L688" s="13"/>
      <c r="M688" s="13"/>
    </row>
    <row r="689" spans="1:13" x14ac:dyDescent="0.25">
      <c r="A689" s="1" t="s">
        <v>2315</v>
      </c>
      <c r="B689" s="1" t="s">
        <v>2316</v>
      </c>
      <c r="C689" s="1" t="s">
        <v>2317</v>
      </c>
      <c r="D689" s="1" t="s">
        <v>12</v>
      </c>
      <c r="E689" s="1" t="s">
        <v>2318</v>
      </c>
      <c r="F689" s="1" t="s">
        <v>14</v>
      </c>
      <c r="G689" s="1" t="s">
        <v>23</v>
      </c>
      <c r="H689" s="1" t="s">
        <v>24</v>
      </c>
      <c r="I689" s="1">
        <v>0</v>
      </c>
      <c r="J689" s="12">
        <f t="shared" si="20"/>
        <v>45325</v>
      </c>
      <c r="K689" s="14">
        <f t="shared" si="21"/>
        <v>2</v>
      </c>
      <c r="L689" s="13"/>
      <c r="M689" s="13"/>
    </row>
    <row r="690" spans="1:13" x14ac:dyDescent="0.25">
      <c r="A690" s="1" t="s">
        <v>2319</v>
      </c>
      <c r="B690" s="1" t="s">
        <v>2320</v>
      </c>
      <c r="C690" s="1" t="s">
        <v>2321</v>
      </c>
      <c r="D690" s="1" t="s">
        <v>20</v>
      </c>
      <c r="E690" s="1" t="s">
        <v>856</v>
      </c>
      <c r="F690" s="1" t="s">
        <v>22</v>
      </c>
      <c r="G690" s="1" t="s">
        <v>35</v>
      </c>
      <c r="H690" s="1" t="s">
        <v>41</v>
      </c>
      <c r="I690" s="1">
        <v>0</v>
      </c>
      <c r="J690" s="12">
        <f t="shared" si="20"/>
        <v>45295</v>
      </c>
      <c r="K690" s="14">
        <f t="shared" si="21"/>
        <v>1</v>
      </c>
      <c r="L690" s="13"/>
      <c r="M690" s="13"/>
    </row>
    <row r="691" spans="1:13" x14ac:dyDescent="0.25">
      <c r="A691" s="1" t="s">
        <v>1188</v>
      </c>
      <c r="B691" s="1" t="s">
        <v>2322</v>
      </c>
      <c r="C691" s="1" t="s">
        <v>2323</v>
      </c>
      <c r="D691" s="1" t="s">
        <v>45</v>
      </c>
      <c r="E691" s="1" t="s">
        <v>2324</v>
      </c>
      <c r="F691" s="1" t="s">
        <v>75</v>
      </c>
      <c r="G691" s="1" t="s">
        <v>23</v>
      </c>
      <c r="H691" s="1" t="s">
        <v>30</v>
      </c>
      <c r="I691" s="1">
        <v>2025</v>
      </c>
      <c r="J691" s="12">
        <f t="shared" si="20"/>
        <v>45318</v>
      </c>
      <c r="K691" s="14">
        <f t="shared" si="21"/>
        <v>1</v>
      </c>
      <c r="L691" s="13"/>
      <c r="M691" s="13"/>
    </row>
    <row r="692" spans="1:13" x14ac:dyDescent="0.25">
      <c r="A692" s="1" t="s">
        <v>2325</v>
      </c>
      <c r="B692" s="1" t="s">
        <v>2326</v>
      </c>
      <c r="C692" s="1" t="s">
        <v>2327</v>
      </c>
      <c r="D692" s="1" t="s">
        <v>20</v>
      </c>
      <c r="E692" s="1" t="s">
        <v>2328</v>
      </c>
      <c r="F692" s="1" t="s">
        <v>14</v>
      </c>
      <c r="G692" s="1" t="s">
        <v>35</v>
      </c>
      <c r="H692" s="1" t="s">
        <v>30</v>
      </c>
      <c r="I692" s="1">
        <v>0</v>
      </c>
      <c r="J692" s="12">
        <f t="shared" si="20"/>
        <v>45317</v>
      </c>
      <c r="K692" s="14">
        <f t="shared" si="21"/>
        <v>1</v>
      </c>
      <c r="L692" s="13"/>
      <c r="M692" s="13"/>
    </row>
    <row r="693" spans="1:13" x14ac:dyDescent="0.25">
      <c r="A693" s="1" t="s">
        <v>586</v>
      </c>
      <c r="B693" s="1" t="s">
        <v>2329</v>
      </c>
      <c r="C693" s="1" t="s">
        <v>2330</v>
      </c>
      <c r="D693" s="1" t="s">
        <v>12</v>
      </c>
      <c r="E693" s="1" t="s">
        <v>2331</v>
      </c>
      <c r="F693" s="1" t="s">
        <v>14</v>
      </c>
      <c r="G693" s="1" t="s">
        <v>23</v>
      </c>
      <c r="H693" s="1" t="s">
        <v>16</v>
      </c>
      <c r="I693" s="1">
        <v>0</v>
      </c>
      <c r="J693" s="12">
        <f t="shared" si="20"/>
        <v>45293</v>
      </c>
      <c r="K693" s="14">
        <f t="shared" si="21"/>
        <v>1</v>
      </c>
      <c r="L693" s="13"/>
      <c r="M693" s="13"/>
    </row>
    <row r="694" spans="1:13" x14ac:dyDescent="0.25">
      <c r="A694" s="1" t="s">
        <v>1317</v>
      </c>
      <c r="B694" s="1" t="s">
        <v>2332</v>
      </c>
      <c r="C694" s="1" t="s">
        <v>2333</v>
      </c>
      <c r="D694" s="1" t="s">
        <v>12</v>
      </c>
      <c r="E694" s="1" t="s">
        <v>1100</v>
      </c>
      <c r="F694" s="1" t="s">
        <v>14</v>
      </c>
      <c r="G694" s="1" t="s">
        <v>35</v>
      </c>
      <c r="H694" s="1" t="s">
        <v>24</v>
      </c>
      <c r="I694" s="1">
        <v>0</v>
      </c>
      <c r="J694" s="12">
        <f t="shared" si="20"/>
        <v>45293</v>
      </c>
      <c r="K694" s="14">
        <f t="shared" si="21"/>
        <v>1</v>
      </c>
      <c r="L694" s="13"/>
      <c r="M694" s="13"/>
    </row>
    <row r="695" spans="1:13" x14ac:dyDescent="0.25">
      <c r="A695" s="1" t="s">
        <v>2319</v>
      </c>
      <c r="B695" s="1" t="s">
        <v>2334</v>
      </c>
      <c r="C695" s="1" t="s">
        <v>2335</v>
      </c>
      <c r="D695" s="1" t="s">
        <v>45</v>
      </c>
      <c r="E695" s="1" t="s">
        <v>2336</v>
      </c>
      <c r="F695" s="1" t="s">
        <v>22</v>
      </c>
      <c r="G695" s="1" t="s">
        <v>35</v>
      </c>
      <c r="H695" s="1" t="s">
        <v>55</v>
      </c>
      <c r="I695" s="1">
        <v>2221</v>
      </c>
      <c r="J695" s="12">
        <f t="shared" si="20"/>
        <v>45316</v>
      </c>
      <c r="K695" s="14">
        <f t="shared" si="21"/>
        <v>1</v>
      </c>
      <c r="L695" s="13"/>
      <c r="M695" s="13"/>
    </row>
    <row r="696" spans="1:13" x14ac:dyDescent="0.25">
      <c r="A696" s="1" t="s">
        <v>2337</v>
      </c>
      <c r="B696" s="1" t="s">
        <v>2338</v>
      </c>
      <c r="C696" s="1" t="s">
        <v>2339</v>
      </c>
      <c r="D696" s="1" t="s">
        <v>45</v>
      </c>
      <c r="E696" s="1" t="s">
        <v>837</v>
      </c>
      <c r="F696" s="1" t="s">
        <v>29</v>
      </c>
      <c r="G696" s="1" t="s">
        <v>23</v>
      </c>
      <c r="H696" s="1" t="s">
        <v>16</v>
      </c>
      <c r="I696" s="1">
        <v>4484</v>
      </c>
      <c r="J696" s="12">
        <f t="shared" si="20"/>
        <v>45311</v>
      </c>
      <c r="K696" s="14">
        <f t="shared" si="21"/>
        <v>1</v>
      </c>
      <c r="L696" s="13"/>
      <c r="M696" s="13"/>
    </row>
    <row r="697" spans="1:13" x14ac:dyDescent="0.25">
      <c r="A697" s="1" t="s">
        <v>2034</v>
      </c>
      <c r="B697" s="1" t="s">
        <v>2340</v>
      </c>
      <c r="C697" s="1" t="s">
        <v>2341</v>
      </c>
      <c r="D697" s="1" t="s">
        <v>20</v>
      </c>
      <c r="E697" s="1" t="s">
        <v>1603</v>
      </c>
      <c r="F697" s="1" t="s">
        <v>29</v>
      </c>
      <c r="G697" s="1" t="s">
        <v>15</v>
      </c>
      <c r="H697" s="1" t="s">
        <v>24</v>
      </c>
      <c r="I697" s="1">
        <v>0</v>
      </c>
      <c r="J697" s="12">
        <f t="shared" si="20"/>
        <v>45321</v>
      </c>
      <c r="K697" s="14">
        <f t="shared" si="21"/>
        <v>1</v>
      </c>
      <c r="L697" s="13"/>
      <c r="M697" s="13"/>
    </row>
    <row r="698" spans="1:13" x14ac:dyDescent="0.25">
      <c r="A698" s="1" t="s">
        <v>495</v>
      </c>
      <c r="B698" s="1" t="s">
        <v>2342</v>
      </c>
      <c r="C698" s="1" t="s">
        <v>2343</v>
      </c>
      <c r="D698" s="1" t="s">
        <v>12</v>
      </c>
      <c r="E698" s="1" t="s">
        <v>1238</v>
      </c>
      <c r="F698" s="1" t="s">
        <v>22</v>
      </c>
      <c r="G698" s="1" t="s">
        <v>35</v>
      </c>
      <c r="H698" s="1" t="s">
        <v>55</v>
      </c>
      <c r="I698" s="1">
        <v>0</v>
      </c>
      <c r="J698" s="12">
        <f t="shared" si="20"/>
        <v>45307</v>
      </c>
      <c r="K698" s="14">
        <f t="shared" si="21"/>
        <v>1</v>
      </c>
      <c r="L698" s="13"/>
      <c r="M698" s="13"/>
    </row>
    <row r="699" spans="1:13" x14ac:dyDescent="0.25">
      <c r="A699" s="1" t="s">
        <v>958</v>
      </c>
      <c r="B699" s="1" t="s">
        <v>2344</v>
      </c>
      <c r="C699" s="1" t="s">
        <v>2345</v>
      </c>
      <c r="D699" s="1" t="s">
        <v>20</v>
      </c>
      <c r="E699" s="1" t="s">
        <v>2346</v>
      </c>
      <c r="F699" s="1" t="s">
        <v>14</v>
      </c>
      <c r="G699" s="1" t="s">
        <v>15</v>
      </c>
      <c r="H699" s="1" t="s">
        <v>16</v>
      </c>
      <c r="I699" s="1">
        <v>0</v>
      </c>
      <c r="J699" s="12">
        <f t="shared" si="20"/>
        <v>45310</v>
      </c>
      <c r="K699" s="14">
        <f t="shared" si="21"/>
        <v>1</v>
      </c>
      <c r="L699" s="13"/>
      <c r="M699" s="13"/>
    </row>
    <row r="700" spans="1:13" x14ac:dyDescent="0.25">
      <c r="A700" s="1" t="s">
        <v>1535</v>
      </c>
      <c r="B700" s="1" t="s">
        <v>2347</v>
      </c>
      <c r="C700" s="1" t="s">
        <v>2348</v>
      </c>
      <c r="D700" s="1" t="s">
        <v>20</v>
      </c>
      <c r="E700" s="1" t="s">
        <v>2349</v>
      </c>
      <c r="F700" s="1" t="s">
        <v>14</v>
      </c>
      <c r="G700" s="1" t="s">
        <v>15</v>
      </c>
      <c r="H700" s="1" t="s">
        <v>16</v>
      </c>
      <c r="I700" s="1">
        <v>0</v>
      </c>
      <c r="J700" s="12">
        <f t="shared" si="20"/>
        <v>45306</v>
      </c>
      <c r="K700" s="14">
        <f t="shared" si="21"/>
        <v>1</v>
      </c>
      <c r="L700" s="13"/>
      <c r="M700" s="13"/>
    </row>
    <row r="701" spans="1:13" x14ac:dyDescent="0.25">
      <c r="A701" s="1" t="s">
        <v>2350</v>
      </c>
      <c r="B701" s="1" t="s">
        <v>2351</v>
      </c>
      <c r="C701" s="1" t="s">
        <v>2352</v>
      </c>
      <c r="D701" s="1" t="s">
        <v>20</v>
      </c>
      <c r="E701" s="1" t="s">
        <v>2353</v>
      </c>
      <c r="F701" s="1" t="s">
        <v>40</v>
      </c>
      <c r="G701" s="1" t="s">
        <v>23</v>
      </c>
      <c r="H701" s="1" t="s">
        <v>24</v>
      </c>
      <c r="I701" s="1">
        <v>0</v>
      </c>
      <c r="J701" s="12">
        <f t="shared" si="20"/>
        <v>45322</v>
      </c>
      <c r="K701" s="14">
        <f t="shared" si="21"/>
        <v>1</v>
      </c>
      <c r="L701" s="13"/>
      <c r="M701" s="13"/>
    </row>
    <row r="702" spans="1:13" x14ac:dyDescent="0.25">
      <c r="A702" s="1" t="s">
        <v>1058</v>
      </c>
      <c r="B702" s="1" t="s">
        <v>2354</v>
      </c>
      <c r="C702" s="1" t="s">
        <v>2355</v>
      </c>
      <c r="D702" s="1" t="s">
        <v>20</v>
      </c>
      <c r="E702" s="1" t="s">
        <v>1313</v>
      </c>
      <c r="F702" s="1" t="s">
        <v>75</v>
      </c>
      <c r="G702" s="1" t="s">
        <v>23</v>
      </c>
      <c r="H702" s="1" t="s">
        <v>24</v>
      </c>
      <c r="I702" s="1">
        <v>0</v>
      </c>
      <c r="J702" s="12">
        <f t="shared" si="20"/>
        <v>45312</v>
      </c>
      <c r="K702" s="14">
        <f t="shared" si="21"/>
        <v>1</v>
      </c>
      <c r="L702" s="13"/>
      <c r="M702" s="13"/>
    </row>
    <row r="703" spans="1:13" x14ac:dyDescent="0.25">
      <c r="A703" s="1" t="s">
        <v>2356</v>
      </c>
      <c r="B703" s="1" t="s">
        <v>2357</v>
      </c>
      <c r="C703" s="1" t="s">
        <v>2358</v>
      </c>
      <c r="D703" s="1" t="s">
        <v>20</v>
      </c>
      <c r="E703" s="1" t="s">
        <v>2037</v>
      </c>
      <c r="F703" s="1" t="s">
        <v>14</v>
      </c>
      <c r="G703" s="1" t="s">
        <v>23</v>
      </c>
      <c r="H703" s="1" t="s">
        <v>41</v>
      </c>
      <c r="I703" s="1">
        <v>0</v>
      </c>
      <c r="J703" s="12">
        <f t="shared" si="20"/>
        <v>45299</v>
      </c>
      <c r="K703" s="14">
        <f t="shared" si="21"/>
        <v>1</v>
      </c>
      <c r="L703" s="13"/>
      <c r="M703" s="13"/>
    </row>
    <row r="704" spans="1:13" x14ac:dyDescent="0.25">
      <c r="A704" s="1" t="s">
        <v>1877</v>
      </c>
      <c r="B704" s="1" t="s">
        <v>2359</v>
      </c>
      <c r="C704" s="1" t="s">
        <v>2360</v>
      </c>
      <c r="D704" s="1" t="s">
        <v>45</v>
      </c>
      <c r="E704" s="1" t="s">
        <v>937</v>
      </c>
      <c r="F704" s="1" t="s">
        <v>14</v>
      </c>
      <c r="G704" s="1" t="s">
        <v>23</v>
      </c>
      <c r="H704" s="1" t="s">
        <v>30</v>
      </c>
      <c r="I704" s="1">
        <v>3552</v>
      </c>
      <c r="J704" s="12">
        <f t="shared" si="20"/>
        <v>45321</v>
      </c>
      <c r="K704" s="14">
        <f t="shared" si="21"/>
        <v>1</v>
      </c>
      <c r="L704" s="13"/>
      <c r="M704" s="13"/>
    </row>
    <row r="705" spans="1:13" x14ac:dyDescent="0.25">
      <c r="A705" s="1" t="s">
        <v>2361</v>
      </c>
      <c r="B705" s="1" t="s">
        <v>694</v>
      </c>
      <c r="C705" s="1" t="s">
        <v>2362</v>
      </c>
      <c r="D705" s="1" t="s">
        <v>12</v>
      </c>
      <c r="E705" s="1" t="s">
        <v>1037</v>
      </c>
      <c r="F705" s="1" t="s">
        <v>29</v>
      </c>
      <c r="G705" s="1" t="s">
        <v>15</v>
      </c>
      <c r="H705" s="1" t="s">
        <v>55</v>
      </c>
      <c r="I705" s="1">
        <v>0</v>
      </c>
      <c r="J705" s="12">
        <f t="shared" si="20"/>
        <v>45299</v>
      </c>
      <c r="K705" s="14">
        <f t="shared" si="21"/>
        <v>1</v>
      </c>
      <c r="L705" s="13"/>
      <c r="M705" s="13"/>
    </row>
    <row r="706" spans="1:13" x14ac:dyDescent="0.25">
      <c r="A706" s="1" t="s">
        <v>2363</v>
      </c>
      <c r="B706" s="1" t="s">
        <v>2364</v>
      </c>
      <c r="C706" s="1" t="s">
        <v>2365</v>
      </c>
      <c r="D706" s="1" t="s">
        <v>12</v>
      </c>
      <c r="E706" s="1" t="s">
        <v>947</v>
      </c>
      <c r="F706" s="1" t="s">
        <v>14</v>
      </c>
      <c r="G706" s="1" t="s">
        <v>15</v>
      </c>
      <c r="H706" s="1" t="s">
        <v>41</v>
      </c>
      <c r="I706" s="1">
        <v>0</v>
      </c>
      <c r="J706" s="12">
        <f t="shared" si="20"/>
        <v>45293</v>
      </c>
      <c r="K706" s="14">
        <f t="shared" si="21"/>
        <v>1</v>
      </c>
      <c r="L706" s="13"/>
      <c r="M706" s="13"/>
    </row>
    <row r="707" spans="1:13" x14ac:dyDescent="0.25">
      <c r="A707" s="1" t="s">
        <v>2366</v>
      </c>
      <c r="B707" s="1" t="s">
        <v>2367</v>
      </c>
      <c r="C707" s="1" t="s">
        <v>2368</v>
      </c>
      <c r="D707" s="1" t="s">
        <v>45</v>
      </c>
      <c r="E707" s="1" t="s">
        <v>498</v>
      </c>
      <c r="F707" s="1" t="s">
        <v>14</v>
      </c>
      <c r="G707" s="1" t="s">
        <v>23</v>
      </c>
      <c r="H707" s="1" t="s">
        <v>24</v>
      </c>
      <c r="I707" s="1">
        <v>2947</v>
      </c>
      <c r="J707" s="12">
        <f t="shared" si="20"/>
        <v>45296</v>
      </c>
      <c r="K707" s="14">
        <f t="shared" si="21"/>
        <v>1</v>
      </c>
      <c r="L707" s="13"/>
      <c r="M707" s="13"/>
    </row>
    <row r="708" spans="1:13" x14ac:dyDescent="0.25">
      <c r="A708" s="1" t="s">
        <v>2369</v>
      </c>
      <c r="B708" s="1" t="s">
        <v>2370</v>
      </c>
      <c r="C708" s="1" t="s">
        <v>2371</v>
      </c>
      <c r="D708" s="1" t="s">
        <v>45</v>
      </c>
      <c r="E708" s="1" t="s">
        <v>1096</v>
      </c>
      <c r="F708" s="1" t="s">
        <v>14</v>
      </c>
      <c r="G708" s="1" t="s">
        <v>23</v>
      </c>
      <c r="H708" s="1" t="s">
        <v>55</v>
      </c>
      <c r="I708" s="1">
        <v>2840</v>
      </c>
      <c r="J708" s="12">
        <f t="shared" ref="J708:J771" si="22">INT(C708)</f>
        <v>45312</v>
      </c>
      <c r="K708" s="14">
        <f t="shared" ref="K708:K771" si="23">MONTH(C708)</f>
        <v>1</v>
      </c>
      <c r="L708" s="13"/>
      <c r="M708" s="13"/>
    </row>
    <row r="709" spans="1:13" x14ac:dyDescent="0.25">
      <c r="A709" s="1" t="s">
        <v>1149</v>
      </c>
      <c r="B709" s="1" t="s">
        <v>2372</v>
      </c>
      <c r="C709" s="1" t="s">
        <v>2373</v>
      </c>
      <c r="D709" s="1" t="s">
        <v>20</v>
      </c>
      <c r="E709" s="1" t="s">
        <v>2374</v>
      </c>
      <c r="F709" s="1" t="s">
        <v>29</v>
      </c>
      <c r="G709" s="1" t="s">
        <v>35</v>
      </c>
      <c r="H709" s="1" t="s">
        <v>30</v>
      </c>
      <c r="I709" s="1">
        <v>0</v>
      </c>
      <c r="J709" s="12">
        <f t="shared" si="22"/>
        <v>45313</v>
      </c>
      <c r="K709" s="14">
        <f t="shared" si="23"/>
        <v>1</v>
      </c>
      <c r="L709" s="13"/>
      <c r="M709" s="13"/>
    </row>
    <row r="710" spans="1:13" x14ac:dyDescent="0.25">
      <c r="A710" s="1" t="s">
        <v>2375</v>
      </c>
      <c r="B710" s="1" t="s">
        <v>2376</v>
      </c>
      <c r="C710" s="1" t="s">
        <v>2377</v>
      </c>
      <c r="D710" s="1" t="s">
        <v>12</v>
      </c>
      <c r="E710" s="1" t="s">
        <v>447</v>
      </c>
      <c r="F710" s="1" t="s">
        <v>40</v>
      </c>
      <c r="G710" s="1" t="s">
        <v>35</v>
      </c>
      <c r="H710" s="1" t="s">
        <v>41</v>
      </c>
      <c r="I710" s="1">
        <v>0</v>
      </c>
      <c r="J710" s="12">
        <f t="shared" si="22"/>
        <v>45319</v>
      </c>
      <c r="K710" s="14">
        <f t="shared" si="23"/>
        <v>1</v>
      </c>
      <c r="L710" s="13"/>
      <c r="M710" s="13"/>
    </row>
    <row r="711" spans="1:13" x14ac:dyDescent="0.25">
      <c r="A711" s="1" t="s">
        <v>1577</v>
      </c>
      <c r="B711" s="1" t="s">
        <v>2378</v>
      </c>
      <c r="C711" s="1" t="s">
        <v>2379</v>
      </c>
      <c r="D711" s="1" t="s">
        <v>45</v>
      </c>
      <c r="E711" s="1" t="s">
        <v>1698</v>
      </c>
      <c r="F711" s="1" t="s">
        <v>40</v>
      </c>
      <c r="G711" s="1" t="s">
        <v>23</v>
      </c>
      <c r="H711" s="1" t="s">
        <v>16</v>
      </c>
      <c r="I711" s="1">
        <v>4681</v>
      </c>
      <c r="J711" s="12">
        <f t="shared" si="22"/>
        <v>45313</v>
      </c>
      <c r="K711" s="14">
        <f t="shared" si="23"/>
        <v>1</v>
      </c>
      <c r="L711" s="13"/>
      <c r="M711" s="13"/>
    </row>
    <row r="712" spans="1:13" x14ac:dyDescent="0.25">
      <c r="A712" s="1" t="s">
        <v>510</v>
      </c>
      <c r="B712" s="1" t="s">
        <v>2380</v>
      </c>
      <c r="C712" s="1" t="s">
        <v>2381</v>
      </c>
      <c r="D712" s="1" t="s">
        <v>45</v>
      </c>
      <c r="E712" s="1" t="s">
        <v>1684</v>
      </c>
      <c r="F712" s="1" t="s">
        <v>29</v>
      </c>
      <c r="G712" s="1" t="s">
        <v>23</v>
      </c>
      <c r="H712" s="1" t="s">
        <v>30</v>
      </c>
      <c r="I712" s="1">
        <v>843</v>
      </c>
      <c r="J712" s="12">
        <f t="shared" si="22"/>
        <v>45321</v>
      </c>
      <c r="K712" s="14">
        <f t="shared" si="23"/>
        <v>1</v>
      </c>
      <c r="L712" s="13"/>
      <c r="M712" s="13"/>
    </row>
    <row r="713" spans="1:13" x14ac:dyDescent="0.25">
      <c r="A713" s="1" t="s">
        <v>2382</v>
      </c>
      <c r="B713" s="1" t="s">
        <v>2383</v>
      </c>
      <c r="C713" s="1" t="s">
        <v>2384</v>
      </c>
      <c r="D713" s="1" t="s">
        <v>12</v>
      </c>
      <c r="E713" s="1" t="s">
        <v>527</v>
      </c>
      <c r="F713" s="1" t="s">
        <v>22</v>
      </c>
      <c r="G713" s="1" t="s">
        <v>23</v>
      </c>
      <c r="H713" s="1" t="s">
        <v>16</v>
      </c>
      <c r="I713" s="1">
        <v>0</v>
      </c>
      <c r="J713" s="12">
        <f t="shared" si="22"/>
        <v>45326</v>
      </c>
      <c r="K713" s="14">
        <f t="shared" si="23"/>
        <v>2</v>
      </c>
      <c r="L713" s="13"/>
      <c r="M713" s="13"/>
    </row>
    <row r="714" spans="1:13" x14ac:dyDescent="0.25">
      <c r="A714" s="1" t="s">
        <v>2034</v>
      </c>
      <c r="B714" s="1" t="s">
        <v>2385</v>
      </c>
      <c r="C714" s="1" t="s">
        <v>2386</v>
      </c>
      <c r="D714" s="1" t="s">
        <v>12</v>
      </c>
      <c r="E714" s="1" t="s">
        <v>2387</v>
      </c>
      <c r="F714" s="1" t="s">
        <v>14</v>
      </c>
      <c r="G714" s="1" t="s">
        <v>15</v>
      </c>
      <c r="H714" s="1" t="s">
        <v>24</v>
      </c>
      <c r="I714" s="1">
        <v>0</v>
      </c>
      <c r="J714" s="12">
        <f t="shared" si="22"/>
        <v>45299</v>
      </c>
      <c r="K714" s="14">
        <f t="shared" si="23"/>
        <v>1</v>
      </c>
      <c r="L714" s="13"/>
      <c r="M714" s="13"/>
    </row>
    <row r="715" spans="1:13" x14ac:dyDescent="0.25">
      <c r="A715" s="1" t="s">
        <v>2388</v>
      </c>
      <c r="B715" s="1" t="s">
        <v>2389</v>
      </c>
      <c r="C715" s="1" t="s">
        <v>2390</v>
      </c>
      <c r="D715" s="1" t="s">
        <v>12</v>
      </c>
      <c r="E715" s="1" t="s">
        <v>2391</v>
      </c>
      <c r="F715" s="1" t="s">
        <v>22</v>
      </c>
      <c r="G715" s="1" t="s">
        <v>23</v>
      </c>
      <c r="H715" s="1" t="s">
        <v>55</v>
      </c>
      <c r="I715" s="1">
        <v>0</v>
      </c>
      <c r="J715" s="12">
        <f t="shared" si="22"/>
        <v>45307</v>
      </c>
      <c r="K715" s="14">
        <f t="shared" si="23"/>
        <v>1</v>
      </c>
      <c r="L715" s="13"/>
      <c r="M715" s="13"/>
    </row>
    <row r="716" spans="1:13" x14ac:dyDescent="0.25">
      <c r="A716" s="1" t="s">
        <v>2392</v>
      </c>
      <c r="B716" s="1" t="s">
        <v>2393</v>
      </c>
      <c r="C716" s="1" t="s">
        <v>2394</v>
      </c>
      <c r="D716" s="1" t="s">
        <v>12</v>
      </c>
      <c r="E716" s="1" t="s">
        <v>1170</v>
      </c>
      <c r="F716" s="1" t="s">
        <v>75</v>
      </c>
      <c r="G716" s="1" t="s">
        <v>23</v>
      </c>
      <c r="H716" s="1" t="s">
        <v>41</v>
      </c>
      <c r="I716" s="1">
        <v>0</v>
      </c>
      <c r="J716" s="12">
        <f t="shared" si="22"/>
        <v>45307</v>
      </c>
      <c r="K716" s="14">
        <f t="shared" si="23"/>
        <v>1</v>
      </c>
      <c r="L716" s="13"/>
      <c r="M716" s="13"/>
    </row>
    <row r="717" spans="1:13" x14ac:dyDescent="0.25">
      <c r="A717" s="1" t="s">
        <v>1388</v>
      </c>
      <c r="B717" s="1" t="s">
        <v>2395</v>
      </c>
      <c r="C717" s="1" t="s">
        <v>2396</v>
      </c>
      <c r="D717" s="1" t="s">
        <v>20</v>
      </c>
      <c r="E717" s="1" t="s">
        <v>2311</v>
      </c>
      <c r="F717" s="1" t="s">
        <v>22</v>
      </c>
      <c r="G717" s="1" t="s">
        <v>35</v>
      </c>
      <c r="H717" s="1" t="s">
        <v>30</v>
      </c>
      <c r="I717" s="1">
        <v>0</v>
      </c>
      <c r="J717" s="12">
        <f t="shared" si="22"/>
        <v>45307</v>
      </c>
      <c r="K717" s="14">
        <f t="shared" si="23"/>
        <v>1</v>
      </c>
      <c r="L717" s="13"/>
      <c r="M717" s="13"/>
    </row>
    <row r="718" spans="1:13" x14ac:dyDescent="0.25">
      <c r="A718" s="1" t="s">
        <v>575</v>
      </c>
      <c r="B718" s="1" t="s">
        <v>2397</v>
      </c>
      <c r="C718" s="1" t="s">
        <v>2398</v>
      </c>
      <c r="D718" s="1" t="s">
        <v>12</v>
      </c>
      <c r="E718" s="1" t="s">
        <v>142</v>
      </c>
      <c r="F718" s="1" t="s">
        <v>40</v>
      </c>
      <c r="G718" s="1" t="s">
        <v>15</v>
      </c>
      <c r="H718" s="1" t="s">
        <v>30</v>
      </c>
      <c r="I718" s="1">
        <v>0</v>
      </c>
      <c r="J718" s="12">
        <f t="shared" si="22"/>
        <v>45318</v>
      </c>
      <c r="K718" s="14">
        <f t="shared" si="23"/>
        <v>1</v>
      </c>
      <c r="L718" s="13"/>
      <c r="M718" s="13"/>
    </row>
    <row r="719" spans="1:13" x14ac:dyDescent="0.25">
      <c r="A719" s="1" t="s">
        <v>2399</v>
      </c>
      <c r="B719" s="1" t="s">
        <v>2400</v>
      </c>
      <c r="C719" s="1" t="s">
        <v>2401</v>
      </c>
      <c r="D719" s="1" t="s">
        <v>12</v>
      </c>
      <c r="E719" s="1" t="s">
        <v>2387</v>
      </c>
      <c r="F719" s="1" t="s">
        <v>14</v>
      </c>
      <c r="G719" s="1" t="s">
        <v>23</v>
      </c>
      <c r="H719" s="1" t="s">
        <v>55</v>
      </c>
      <c r="I719" s="1">
        <v>0</v>
      </c>
      <c r="J719" s="12">
        <f t="shared" si="22"/>
        <v>45296</v>
      </c>
      <c r="K719" s="14">
        <f t="shared" si="23"/>
        <v>1</v>
      </c>
      <c r="L719" s="13"/>
      <c r="M719" s="13"/>
    </row>
    <row r="720" spans="1:13" x14ac:dyDescent="0.25">
      <c r="A720" s="1" t="s">
        <v>214</v>
      </c>
      <c r="B720" s="1" t="s">
        <v>2402</v>
      </c>
      <c r="C720" s="1" t="s">
        <v>2403</v>
      </c>
      <c r="D720" s="1" t="s">
        <v>45</v>
      </c>
      <c r="E720" s="1" t="s">
        <v>2404</v>
      </c>
      <c r="F720" s="1" t="s">
        <v>14</v>
      </c>
      <c r="G720" s="1" t="s">
        <v>35</v>
      </c>
      <c r="H720" s="1" t="s">
        <v>24</v>
      </c>
      <c r="I720" s="1">
        <v>357</v>
      </c>
      <c r="J720" s="12">
        <f t="shared" si="22"/>
        <v>45292</v>
      </c>
      <c r="K720" s="14">
        <f t="shared" si="23"/>
        <v>1</v>
      </c>
      <c r="L720" s="13"/>
      <c r="M720" s="13"/>
    </row>
    <row r="721" spans="1:13" x14ac:dyDescent="0.25">
      <c r="A721" s="1" t="s">
        <v>557</v>
      </c>
      <c r="B721" s="1" t="s">
        <v>2405</v>
      </c>
      <c r="C721" s="1" t="s">
        <v>2406</v>
      </c>
      <c r="D721" s="1" t="s">
        <v>12</v>
      </c>
      <c r="E721" s="1" t="s">
        <v>2407</v>
      </c>
      <c r="F721" s="1" t="s">
        <v>75</v>
      </c>
      <c r="G721" s="1" t="s">
        <v>23</v>
      </c>
      <c r="H721" s="1" t="s">
        <v>24</v>
      </c>
      <c r="I721" s="1">
        <v>0</v>
      </c>
      <c r="J721" s="12">
        <f t="shared" si="22"/>
        <v>45316</v>
      </c>
      <c r="K721" s="14">
        <f t="shared" si="23"/>
        <v>1</v>
      </c>
      <c r="L721" s="13"/>
      <c r="M721" s="13"/>
    </row>
    <row r="722" spans="1:13" x14ac:dyDescent="0.25">
      <c r="A722" s="1" t="s">
        <v>2408</v>
      </c>
      <c r="B722" s="1" t="s">
        <v>2409</v>
      </c>
      <c r="C722" s="1" t="s">
        <v>2410</v>
      </c>
      <c r="D722" s="1" t="s">
        <v>45</v>
      </c>
      <c r="E722" s="1" t="s">
        <v>2411</v>
      </c>
      <c r="F722" s="1" t="s">
        <v>75</v>
      </c>
      <c r="G722" s="1" t="s">
        <v>15</v>
      </c>
      <c r="H722" s="1" t="s">
        <v>24</v>
      </c>
      <c r="I722" s="1">
        <v>753</v>
      </c>
      <c r="J722" s="12">
        <f t="shared" si="22"/>
        <v>45308</v>
      </c>
      <c r="K722" s="14">
        <f t="shared" si="23"/>
        <v>1</v>
      </c>
      <c r="L722" s="13"/>
      <c r="M722" s="13"/>
    </row>
    <row r="723" spans="1:13" x14ac:dyDescent="0.25">
      <c r="A723" s="1" t="s">
        <v>2151</v>
      </c>
      <c r="B723" s="1" t="s">
        <v>2412</v>
      </c>
      <c r="C723" s="1" t="s">
        <v>2413</v>
      </c>
      <c r="D723" s="1" t="s">
        <v>45</v>
      </c>
      <c r="E723" s="1" t="s">
        <v>947</v>
      </c>
      <c r="F723" s="1" t="s">
        <v>75</v>
      </c>
      <c r="G723" s="1" t="s">
        <v>23</v>
      </c>
      <c r="H723" s="1" t="s">
        <v>24</v>
      </c>
      <c r="I723" s="1">
        <v>4642</v>
      </c>
      <c r="J723" s="12">
        <f t="shared" si="22"/>
        <v>45323</v>
      </c>
      <c r="K723" s="14">
        <f t="shared" si="23"/>
        <v>2</v>
      </c>
      <c r="L723" s="13"/>
      <c r="M723" s="13"/>
    </row>
    <row r="724" spans="1:13" x14ac:dyDescent="0.25">
      <c r="A724" s="1" t="s">
        <v>1781</v>
      </c>
      <c r="B724" s="1" t="s">
        <v>2414</v>
      </c>
      <c r="C724" s="1" t="s">
        <v>2415</v>
      </c>
      <c r="D724" s="1" t="s">
        <v>20</v>
      </c>
      <c r="E724" s="1" t="s">
        <v>2416</v>
      </c>
      <c r="F724" s="1" t="s">
        <v>40</v>
      </c>
      <c r="G724" s="1" t="s">
        <v>15</v>
      </c>
      <c r="H724" s="1" t="s">
        <v>30</v>
      </c>
      <c r="I724" s="1">
        <v>0</v>
      </c>
      <c r="J724" s="12">
        <f t="shared" si="22"/>
        <v>45306</v>
      </c>
      <c r="K724" s="14">
        <f t="shared" si="23"/>
        <v>1</v>
      </c>
      <c r="L724" s="13"/>
      <c r="M724" s="13"/>
    </row>
    <row r="725" spans="1:13" x14ac:dyDescent="0.25">
      <c r="A725" s="1" t="s">
        <v>2337</v>
      </c>
      <c r="B725" s="1" t="s">
        <v>2417</v>
      </c>
      <c r="C725" s="1" t="s">
        <v>2418</v>
      </c>
      <c r="D725" s="1" t="s">
        <v>45</v>
      </c>
      <c r="E725" s="1" t="s">
        <v>2419</v>
      </c>
      <c r="F725" s="1" t="s">
        <v>40</v>
      </c>
      <c r="G725" s="1" t="s">
        <v>15</v>
      </c>
      <c r="H725" s="1" t="s">
        <v>30</v>
      </c>
      <c r="I725" s="1">
        <v>3694</v>
      </c>
      <c r="J725" s="12">
        <f t="shared" si="22"/>
        <v>45307</v>
      </c>
      <c r="K725" s="14">
        <f t="shared" si="23"/>
        <v>1</v>
      </c>
      <c r="L725" s="13"/>
      <c r="M725" s="13"/>
    </row>
    <row r="726" spans="1:13" x14ac:dyDescent="0.25">
      <c r="A726" s="1" t="s">
        <v>2420</v>
      </c>
      <c r="B726" s="1" t="s">
        <v>2421</v>
      </c>
      <c r="C726" s="1" t="s">
        <v>2422</v>
      </c>
      <c r="D726" s="1" t="s">
        <v>12</v>
      </c>
      <c r="E726" s="1" t="s">
        <v>39</v>
      </c>
      <c r="F726" s="1" t="s">
        <v>29</v>
      </c>
      <c r="G726" s="1" t="s">
        <v>23</v>
      </c>
      <c r="H726" s="1" t="s">
        <v>30</v>
      </c>
      <c r="I726" s="1">
        <v>0</v>
      </c>
      <c r="J726" s="12">
        <f t="shared" si="22"/>
        <v>45300</v>
      </c>
      <c r="K726" s="14">
        <f t="shared" si="23"/>
        <v>1</v>
      </c>
      <c r="L726" s="13"/>
      <c r="M726" s="13"/>
    </row>
    <row r="727" spans="1:13" x14ac:dyDescent="0.25">
      <c r="A727" s="1" t="s">
        <v>416</v>
      </c>
      <c r="B727" s="1" t="s">
        <v>2423</v>
      </c>
      <c r="C727" s="1" t="s">
        <v>2424</v>
      </c>
      <c r="D727" s="1" t="s">
        <v>20</v>
      </c>
      <c r="E727" s="1" t="s">
        <v>657</v>
      </c>
      <c r="F727" s="1" t="s">
        <v>22</v>
      </c>
      <c r="G727" s="1" t="s">
        <v>35</v>
      </c>
      <c r="H727" s="1" t="s">
        <v>30</v>
      </c>
      <c r="I727" s="1">
        <v>0</v>
      </c>
      <c r="J727" s="12">
        <f t="shared" si="22"/>
        <v>45302</v>
      </c>
      <c r="K727" s="14">
        <f t="shared" si="23"/>
        <v>1</v>
      </c>
      <c r="L727" s="13"/>
      <c r="M727" s="13"/>
    </row>
    <row r="728" spans="1:13" x14ac:dyDescent="0.25">
      <c r="A728" s="1" t="s">
        <v>252</v>
      </c>
      <c r="B728" s="1" t="s">
        <v>2425</v>
      </c>
      <c r="C728" s="1" t="s">
        <v>2426</v>
      </c>
      <c r="D728" s="1" t="s">
        <v>45</v>
      </c>
      <c r="E728" s="1" t="s">
        <v>2427</v>
      </c>
      <c r="F728" s="1" t="s">
        <v>40</v>
      </c>
      <c r="G728" s="1" t="s">
        <v>15</v>
      </c>
      <c r="H728" s="1" t="s">
        <v>24</v>
      </c>
      <c r="I728" s="1">
        <v>4565</v>
      </c>
      <c r="J728" s="12">
        <f t="shared" si="22"/>
        <v>45315</v>
      </c>
      <c r="K728" s="14">
        <f t="shared" si="23"/>
        <v>1</v>
      </c>
      <c r="L728" s="13"/>
      <c r="M728" s="13"/>
    </row>
    <row r="729" spans="1:13" x14ac:dyDescent="0.25">
      <c r="A729" s="1" t="s">
        <v>842</v>
      </c>
      <c r="B729" s="1" t="s">
        <v>2428</v>
      </c>
      <c r="C729" s="1" t="s">
        <v>2429</v>
      </c>
      <c r="D729" s="1" t="s">
        <v>20</v>
      </c>
      <c r="E729" s="1" t="s">
        <v>2430</v>
      </c>
      <c r="F729" s="1" t="s">
        <v>40</v>
      </c>
      <c r="G729" s="1" t="s">
        <v>23</v>
      </c>
      <c r="H729" s="1" t="s">
        <v>16</v>
      </c>
      <c r="I729" s="1">
        <v>0</v>
      </c>
      <c r="J729" s="12">
        <f t="shared" si="22"/>
        <v>45305</v>
      </c>
      <c r="K729" s="14">
        <f t="shared" si="23"/>
        <v>1</v>
      </c>
      <c r="L729" s="13"/>
      <c r="M729" s="13"/>
    </row>
    <row r="730" spans="1:13" x14ac:dyDescent="0.25">
      <c r="A730" s="1" t="s">
        <v>1195</v>
      </c>
      <c r="B730" s="1" t="s">
        <v>2431</v>
      </c>
      <c r="C730" s="1" t="s">
        <v>2432</v>
      </c>
      <c r="D730" s="1" t="s">
        <v>20</v>
      </c>
      <c r="E730" s="1" t="s">
        <v>2433</v>
      </c>
      <c r="F730" s="1" t="s">
        <v>14</v>
      </c>
      <c r="G730" s="1" t="s">
        <v>15</v>
      </c>
      <c r="H730" s="1" t="s">
        <v>16</v>
      </c>
      <c r="I730" s="1">
        <v>0</v>
      </c>
      <c r="J730" s="12">
        <f t="shared" si="22"/>
        <v>45318</v>
      </c>
      <c r="K730" s="14">
        <f t="shared" si="23"/>
        <v>1</v>
      </c>
      <c r="L730" s="13"/>
      <c r="M730" s="13"/>
    </row>
    <row r="731" spans="1:13" x14ac:dyDescent="0.25">
      <c r="A731" s="1" t="s">
        <v>557</v>
      </c>
      <c r="B731" s="1" t="s">
        <v>2434</v>
      </c>
      <c r="C731" s="1" t="s">
        <v>2435</v>
      </c>
      <c r="D731" s="1" t="s">
        <v>45</v>
      </c>
      <c r="E731" s="1" t="s">
        <v>1693</v>
      </c>
      <c r="F731" s="1" t="s">
        <v>75</v>
      </c>
      <c r="G731" s="1" t="s">
        <v>23</v>
      </c>
      <c r="H731" s="1" t="s">
        <v>16</v>
      </c>
      <c r="I731" s="1">
        <v>543</v>
      </c>
      <c r="J731" s="12">
        <f t="shared" si="22"/>
        <v>45325</v>
      </c>
      <c r="K731" s="14">
        <f t="shared" si="23"/>
        <v>2</v>
      </c>
      <c r="L731" s="13"/>
      <c r="M731" s="13"/>
    </row>
    <row r="732" spans="1:13" x14ac:dyDescent="0.25">
      <c r="A732" s="1" t="s">
        <v>2436</v>
      </c>
      <c r="B732" s="1" t="s">
        <v>2437</v>
      </c>
      <c r="C732" s="1" t="s">
        <v>2438</v>
      </c>
      <c r="D732" s="1" t="s">
        <v>20</v>
      </c>
      <c r="E732" s="1" t="s">
        <v>130</v>
      </c>
      <c r="F732" s="1" t="s">
        <v>40</v>
      </c>
      <c r="G732" s="1" t="s">
        <v>15</v>
      </c>
      <c r="H732" s="1" t="s">
        <v>24</v>
      </c>
      <c r="I732" s="1">
        <v>0</v>
      </c>
      <c r="J732" s="12">
        <f t="shared" si="22"/>
        <v>45296</v>
      </c>
      <c r="K732" s="14">
        <f t="shared" si="23"/>
        <v>1</v>
      </c>
      <c r="L732" s="13"/>
      <c r="M732" s="13"/>
    </row>
    <row r="733" spans="1:13" x14ac:dyDescent="0.25">
      <c r="A733" s="1" t="s">
        <v>2439</v>
      </c>
      <c r="B733" s="1" t="s">
        <v>2440</v>
      </c>
      <c r="C733" s="1" t="s">
        <v>2441</v>
      </c>
      <c r="D733" s="1" t="s">
        <v>45</v>
      </c>
      <c r="E733" s="1" t="s">
        <v>369</v>
      </c>
      <c r="F733" s="1" t="s">
        <v>14</v>
      </c>
      <c r="G733" s="1" t="s">
        <v>35</v>
      </c>
      <c r="H733" s="1" t="s">
        <v>16</v>
      </c>
      <c r="I733" s="1">
        <v>1335</v>
      </c>
      <c r="J733" s="12">
        <f t="shared" si="22"/>
        <v>45296</v>
      </c>
      <c r="K733" s="14">
        <f t="shared" si="23"/>
        <v>1</v>
      </c>
      <c r="L733" s="13"/>
      <c r="M733" s="13"/>
    </row>
    <row r="734" spans="1:13" x14ac:dyDescent="0.25">
      <c r="A734" s="1" t="s">
        <v>1328</v>
      </c>
      <c r="B734" s="1" t="s">
        <v>2442</v>
      </c>
      <c r="C734" s="1" t="s">
        <v>2443</v>
      </c>
      <c r="D734" s="1" t="s">
        <v>45</v>
      </c>
      <c r="E734" s="1" t="s">
        <v>2444</v>
      </c>
      <c r="F734" s="1" t="s">
        <v>22</v>
      </c>
      <c r="G734" s="1" t="s">
        <v>15</v>
      </c>
      <c r="H734" s="1" t="s">
        <v>41</v>
      </c>
      <c r="I734" s="1">
        <v>3428</v>
      </c>
      <c r="J734" s="12">
        <f t="shared" si="22"/>
        <v>45304</v>
      </c>
      <c r="K734" s="14">
        <f t="shared" si="23"/>
        <v>1</v>
      </c>
      <c r="L734" s="13"/>
      <c r="M734" s="13"/>
    </row>
    <row r="735" spans="1:13" x14ac:dyDescent="0.25">
      <c r="A735" s="1" t="s">
        <v>1167</v>
      </c>
      <c r="B735" s="1" t="s">
        <v>2445</v>
      </c>
      <c r="C735" s="1" t="s">
        <v>2446</v>
      </c>
      <c r="D735" s="1" t="s">
        <v>20</v>
      </c>
      <c r="E735" s="1" t="s">
        <v>1955</v>
      </c>
      <c r="F735" s="1" t="s">
        <v>22</v>
      </c>
      <c r="G735" s="1" t="s">
        <v>15</v>
      </c>
      <c r="H735" s="1" t="s">
        <v>55</v>
      </c>
      <c r="I735" s="1">
        <v>0</v>
      </c>
      <c r="J735" s="12">
        <f t="shared" si="22"/>
        <v>45309</v>
      </c>
      <c r="K735" s="14">
        <f t="shared" si="23"/>
        <v>1</v>
      </c>
      <c r="L735" s="13"/>
      <c r="M735" s="13"/>
    </row>
    <row r="736" spans="1:13" x14ac:dyDescent="0.25">
      <c r="A736" s="1" t="s">
        <v>2447</v>
      </c>
      <c r="B736" s="1" t="s">
        <v>2448</v>
      </c>
      <c r="C736" s="1" t="s">
        <v>2449</v>
      </c>
      <c r="D736" s="1" t="s">
        <v>20</v>
      </c>
      <c r="E736" s="1" t="s">
        <v>1444</v>
      </c>
      <c r="F736" s="1" t="s">
        <v>29</v>
      </c>
      <c r="G736" s="1" t="s">
        <v>35</v>
      </c>
      <c r="H736" s="1" t="s">
        <v>55</v>
      </c>
      <c r="I736" s="1">
        <v>0</v>
      </c>
      <c r="J736" s="12">
        <f t="shared" si="22"/>
        <v>45294</v>
      </c>
      <c r="K736" s="14">
        <f t="shared" si="23"/>
        <v>1</v>
      </c>
      <c r="L736" s="13"/>
      <c r="M736" s="13"/>
    </row>
    <row r="737" spans="1:13" x14ac:dyDescent="0.25">
      <c r="A737" s="1" t="s">
        <v>281</v>
      </c>
      <c r="B737" s="1" t="s">
        <v>2450</v>
      </c>
      <c r="C737" s="1" t="s">
        <v>2451</v>
      </c>
      <c r="D737" s="1" t="s">
        <v>45</v>
      </c>
      <c r="E737" s="1" t="s">
        <v>385</v>
      </c>
      <c r="F737" s="1" t="s">
        <v>75</v>
      </c>
      <c r="G737" s="1" t="s">
        <v>35</v>
      </c>
      <c r="H737" s="1" t="s">
        <v>24</v>
      </c>
      <c r="I737" s="1">
        <v>2777</v>
      </c>
      <c r="J737" s="12">
        <f t="shared" si="22"/>
        <v>45304</v>
      </c>
      <c r="K737" s="14">
        <f t="shared" si="23"/>
        <v>1</v>
      </c>
      <c r="L737" s="13"/>
      <c r="M737" s="13"/>
    </row>
    <row r="738" spans="1:13" x14ac:dyDescent="0.25">
      <c r="A738" s="1" t="s">
        <v>2452</v>
      </c>
      <c r="B738" s="1" t="s">
        <v>2453</v>
      </c>
      <c r="C738" s="1" t="s">
        <v>2454</v>
      </c>
      <c r="D738" s="1" t="s">
        <v>45</v>
      </c>
      <c r="E738" s="1" t="s">
        <v>1324</v>
      </c>
      <c r="F738" s="1" t="s">
        <v>40</v>
      </c>
      <c r="G738" s="1" t="s">
        <v>23</v>
      </c>
      <c r="H738" s="1" t="s">
        <v>24</v>
      </c>
      <c r="I738" s="1">
        <v>1053</v>
      </c>
      <c r="J738" s="12">
        <f t="shared" si="22"/>
        <v>45320</v>
      </c>
      <c r="K738" s="14">
        <f t="shared" si="23"/>
        <v>1</v>
      </c>
      <c r="L738" s="13"/>
      <c r="M738" s="13"/>
    </row>
    <row r="739" spans="1:13" x14ac:dyDescent="0.25">
      <c r="A739" s="1" t="s">
        <v>331</v>
      </c>
      <c r="B739" s="1" t="s">
        <v>2455</v>
      </c>
      <c r="C739" s="1" t="s">
        <v>2456</v>
      </c>
      <c r="D739" s="1" t="s">
        <v>12</v>
      </c>
      <c r="E739" s="1" t="s">
        <v>2457</v>
      </c>
      <c r="F739" s="1" t="s">
        <v>75</v>
      </c>
      <c r="G739" s="1" t="s">
        <v>23</v>
      </c>
      <c r="H739" s="1" t="s">
        <v>16</v>
      </c>
      <c r="I739" s="1">
        <v>0</v>
      </c>
      <c r="J739" s="12">
        <f t="shared" si="22"/>
        <v>45298</v>
      </c>
      <c r="K739" s="14">
        <f t="shared" si="23"/>
        <v>1</v>
      </c>
      <c r="L739" s="13"/>
      <c r="M739" s="13"/>
    </row>
    <row r="740" spans="1:13" x14ac:dyDescent="0.25">
      <c r="A740" s="1" t="s">
        <v>866</v>
      </c>
      <c r="B740" s="1" t="s">
        <v>905</v>
      </c>
      <c r="C740" s="1" t="s">
        <v>2458</v>
      </c>
      <c r="D740" s="1" t="s">
        <v>20</v>
      </c>
      <c r="E740" s="1" t="s">
        <v>426</v>
      </c>
      <c r="F740" s="1" t="s">
        <v>14</v>
      </c>
      <c r="G740" s="1" t="s">
        <v>35</v>
      </c>
      <c r="H740" s="1" t="s">
        <v>41</v>
      </c>
      <c r="I740" s="1">
        <v>0</v>
      </c>
      <c r="J740" s="12">
        <f t="shared" si="22"/>
        <v>45304</v>
      </c>
      <c r="K740" s="14">
        <f t="shared" si="23"/>
        <v>1</v>
      </c>
      <c r="L740" s="13"/>
      <c r="M740" s="13"/>
    </row>
    <row r="741" spans="1:13" x14ac:dyDescent="0.25">
      <c r="A741" s="1" t="s">
        <v>1328</v>
      </c>
      <c r="B741" s="1" t="s">
        <v>2459</v>
      </c>
      <c r="C741" s="1" t="s">
        <v>2460</v>
      </c>
      <c r="D741" s="1" t="s">
        <v>20</v>
      </c>
      <c r="E741" s="1" t="s">
        <v>1833</v>
      </c>
      <c r="F741" s="1" t="s">
        <v>22</v>
      </c>
      <c r="G741" s="1" t="s">
        <v>15</v>
      </c>
      <c r="H741" s="1" t="s">
        <v>30</v>
      </c>
      <c r="I741" s="1">
        <v>0</v>
      </c>
      <c r="J741" s="12">
        <f t="shared" si="22"/>
        <v>45297</v>
      </c>
      <c r="K741" s="14">
        <f t="shared" si="23"/>
        <v>1</v>
      </c>
      <c r="L741" s="13"/>
      <c r="M741" s="13"/>
    </row>
    <row r="742" spans="1:13" x14ac:dyDescent="0.25">
      <c r="A742" s="1" t="s">
        <v>966</v>
      </c>
      <c r="B742" s="1" t="s">
        <v>2461</v>
      </c>
      <c r="C742" s="1" t="s">
        <v>2462</v>
      </c>
      <c r="D742" s="1" t="s">
        <v>12</v>
      </c>
      <c r="E742" s="1" t="s">
        <v>2463</v>
      </c>
      <c r="F742" s="1" t="s">
        <v>22</v>
      </c>
      <c r="G742" s="1" t="s">
        <v>23</v>
      </c>
      <c r="H742" s="1" t="s">
        <v>16</v>
      </c>
      <c r="I742" s="1">
        <v>0</v>
      </c>
      <c r="J742" s="12">
        <f t="shared" si="22"/>
        <v>45309</v>
      </c>
      <c r="K742" s="14">
        <f t="shared" si="23"/>
        <v>1</v>
      </c>
      <c r="L742" s="13"/>
      <c r="M742" s="13"/>
    </row>
    <row r="743" spans="1:13" x14ac:dyDescent="0.25">
      <c r="A743" s="1" t="s">
        <v>2464</v>
      </c>
      <c r="B743" s="1" t="s">
        <v>2465</v>
      </c>
      <c r="C743" s="1" t="s">
        <v>2466</v>
      </c>
      <c r="D743" s="1" t="s">
        <v>12</v>
      </c>
      <c r="E743" s="1" t="s">
        <v>1278</v>
      </c>
      <c r="F743" s="1" t="s">
        <v>22</v>
      </c>
      <c r="G743" s="1" t="s">
        <v>35</v>
      </c>
      <c r="H743" s="1" t="s">
        <v>24</v>
      </c>
      <c r="I743" s="1">
        <v>0</v>
      </c>
      <c r="J743" s="12">
        <f t="shared" si="22"/>
        <v>45299</v>
      </c>
      <c r="K743" s="14">
        <f t="shared" si="23"/>
        <v>1</v>
      </c>
      <c r="L743" s="13"/>
      <c r="M743" s="13"/>
    </row>
    <row r="744" spans="1:13" x14ac:dyDescent="0.25">
      <c r="A744" s="1" t="s">
        <v>2467</v>
      </c>
      <c r="B744" s="1" t="s">
        <v>2468</v>
      </c>
      <c r="C744" s="1" t="s">
        <v>2469</v>
      </c>
      <c r="D744" s="1" t="s">
        <v>20</v>
      </c>
      <c r="E744" s="1" t="s">
        <v>2470</v>
      </c>
      <c r="F744" s="1" t="s">
        <v>14</v>
      </c>
      <c r="G744" s="1" t="s">
        <v>35</v>
      </c>
      <c r="H744" s="1" t="s">
        <v>24</v>
      </c>
      <c r="I744" s="1">
        <v>0</v>
      </c>
      <c r="J744" s="12">
        <f t="shared" si="22"/>
        <v>45324</v>
      </c>
      <c r="K744" s="14">
        <f t="shared" si="23"/>
        <v>2</v>
      </c>
      <c r="L744" s="13"/>
      <c r="M744" s="13"/>
    </row>
    <row r="745" spans="1:13" x14ac:dyDescent="0.25">
      <c r="A745" s="1" t="s">
        <v>2471</v>
      </c>
      <c r="B745" s="1" t="s">
        <v>2472</v>
      </c>
      <c r="C745" s="1" t="s">
        <v>2473</v>
      </c>
      <c r="D745" s="1" t="s">
        <v>45</v>
      </c>
      <c r="E745" s="1" t="s">
        <v>2474</v>
      </c>
      <c r="F745" s="1" t="s">
        <v>75</v>
      </c>
      <c r="G745" s="1" t="s">
        <v>35</v>
      </c>
      <c r="H745" s="1" t="s">
        <v>30</v>
      </c>
      <c r="I745" s="1">
        <v>540</v>
      </c>
      <c r="J745" s="12">
        <f t="shared" si="22"/>
        <v>45299</v>
      </c>
      <c r="K745" s="14">
        <f t="shared" si="23"/>
        <v>1</v>
      </c>
      <c r="L745" s="13"/>
      <c r="M745" s="13"/>
    </row>
    <row r="746" spans="1:13" x14ac:dyDescent="0.25">
      <c r="A746" s="1" t="s">
        <v>167</v>
      </c>
      <c r="B746" s="1" t="s">
        <v>2475</v>
      </c>
      <c r="C746" s="1" t="s">
        <v>2476</v>
      </c>
      <c r="D746" s="1" t="s">
        <v>12</v>
      </c>
      <c r="E746" s="1" t="s">
        <v>910</v>
      </c>
      <c r="F746" s="1" t="s">
        <v>40</v>
      </c>
      <c r="G746" s="1" t="s">
        <v>35</v>
      </c>
      <c r="H746" s="1" t="s">
        <v>30</v>
      </c>
      <c r="I746" s="1">
        <v>0</v>
      </c>
      <c r="J746" s="12">
        <f t="shared" si="22"/>
        <v>45302</v>
      </c>
      <c r="K746" s="14">
        <f t="shared" si="23"/>
        <v>1</v>
      </c>
      <c r="L746" s="13"/>
      <c r="M746" s="13"/>
    </row>
    <row r="747" spans="1:13" x14ac:dyDescent="0.25">
      <c r="A747" s="1" t="s">
        <v>2477</v>
      </c>
      <c r="B747" s="1" t="s">
        <v>2478</v>
      </c>
      <c r="C747" s="1" t="s">
        <v>2479</v>
      </c>
      <c r="D747" s="1" t="s">
        <v>20</v>
      </c>
      <c r="E747" s="1" t="s">
        <v>2480</v>
      </c>
      <c r="F747" s="1" t="s">
        <v>75</v>
      </c>
      <c r="G747" s="1" t="s">
        <v>35</v>
      </c>
      <c r="H747" s="1" t="s">
        <v>16</v>
      </c>
      <c r="I747" s="1">
        <v>0</v>
      </c>
      <c r="J747" s="12">
        <f t="shared" si="22"/>
        <v>45314</v>
      </c>
      <c r="K747" s="14">
        <f t="shared" si="23"/>
        <v>1</v>
      </c>
      <c r="L747" s="13"/>
      <c r="M747" s="13"/>
    </row>
    <row r="748" spans="1:13" x14ac:dyDescent="0.25">
      <c r="A748" s="1" t="s">
        <v>2115</v>
      </c>
      <c r="B748" s="1" t="s">
        <v>2481</v>
      </c>
      <c r="C748" s="1" t="s">
        <v>2482</v>
      </c>
      <c r="D748" s="1" t="s">
        <v>20</v>
      </c>
      <c r="E748" s="1" t="s">
        <v>2483</v>
      </c>
      <c r="F748" s="1" t="s">
        <v>40</v>
      </c>
      <c r="G748" s="1" t="s">
        <v>23</v>
      </c>
      <c r="H748" s="1" t="s">
        <v>30</v>
      </c>
      <c r="I748" s="1">
        <v>0</v>
      </c>
      <c r="J748" s="12">
        <f t="shared" si="22"/>
        <v>45321</v>
      </c>
      <c r="K748" s="14">
        <f t="shared" si="23"/>
        <v>1</v>
      </c>
      <c r="L748" s="13"/>
      <c r="M748" s="13"/>
    </row>
    <row r="749" spans="1:13" x14ac:dyDescent="0.25">
      <c r="A749" s="1" t="s">
        <v>1574</v>
      </c>
      <c r="B749" s="1" t="s">
        <v>2484</v>
      </c>
      <c r="C749" s="1" t="s">
        <v>2485</v>
      </c>
      <c r="D749" s="1" t="s">
        <v>45</v>
      </c>
      <c r="E749" s="1" t="s">
        <v>837</v>
      </c>
      <c r="F749" s="1" t="s">
        <v>75</v>
      </c>
      <c r="G749" s="1" t="s">
        <v>23</v>
      </c>
      <c r="H749" s="1" t="s">
        <v>30</v>
      </c>
      <c r="I749" s="1">
        <v>608</v>
      </c>
      <c r="J749" s="12">
        <f t="shared" si="22"/>
        <v>45299</v>
      </c>
      <c r="K749" s="14">
        <f t="shared" si="23"/>
        <v>1</v>
      </c>
      <c r="L749" s="13"/>
      <c r="M749" s="13"/>
    </row>
    <row r="750" spans="1:13" x14ac:dyDescent="0.25">
      <c r="A750" s="1" t="s">
        <v>612</v>
      </c>
      <c r="B750" s="1" t="s">
        <v>2486</v>
      </c>
      <c r="C750" s="1" t="s">
        <v>2487</v>
      </c>
      <c r="D750" s="1" t="s">
        <v>45</v>
      </c>
      <c r="E750" s="1" t="s">
        <v>1560</v>
      </c>
      <c r="F750" s="1" t="s">
        <v>14</v>
      </c>
      <c r="G750" s="1" t="s">
        <v>35</v>
      </c>
      <c r="H750" s="1" t="s">
        <v>55</v>
      </c>
      <c r="I750" s="1">
        <v>471</v>
      </c>
      <c r="J750" s="12">
        <f t="shared" si="22"/>
        <v>45325</v>
      </c>
      <c r="K750" s="14">
        <f t="shared" si="23"/>
        <v>2</v>
      </c>
      <c r="L750" s="13"/>
      <c r="M750" s="13"/>
    </row>
    <row r="751" spans="1:13" x14ac:dyDescent="0.25">
      <c r="A751" s="1" t="s">
        <v>2488</v>
      </c>
      <c r="B751" s="1" t="s">
        <v>2489</v>
      </c>
      <c r="C751" s="1" t="s">
        <v>2490</v>
      </c>
      <c r="D751" s="1" t="s">
        <v>45</v>
      </c>
      <c r="E751" s="1" t="s">
        <v>2232</v>
      </c>
      <c r="F751" s="1" t="s">
        <v>75</v>
      </c>
      <c r="G751" s="1" t="s">
        <v>35</v>
      </c>
      <c r="H751" s="1" t="s">
        <v>24</v>
      </c>
      <c r="I751" s="1">
        <v>4613</v>
      </c>
      <c r="J751" s="12">
        <f t="shared" si="22"/>
        <v>45325</v>
      </c>
      <c r="K751" s="14">
        <f t="shared" si="23"/>
        <v>2</v>
      </c>
      <c r="L751" s="13"/>
      <c r="M751" s="13"/>
    </row>
    <row r="752" spans="1:13" x14ac:dyDescent="0.25">
      <c r="A752" s="1" t="s">
        <v>2491</v>
      </c>
      <c r="B752" s="1" t="s">
        <v>2492</v>
      </c>
      <c r="C752" s="1" t="s">
        <v>2493</v>
      </c>
      <c r="D752" s="1" t="s">
        <v>12</v>
      </c>
      <c r="E752" s="1" t="s">
        <v>2026</v>
      </c>
      <c r="F752" s="1" t="s">
        <v>22</v>
      </c>
      <c r="G752" s="1" t="s">
        <v>35</v>
      </c>
      <c r="H752" s="1" t="s">
        <v>55</v>
      </c>
      <c r="I752" s="1">
        <v>0</v>
      </c>
      <c r="J752" s="12">
        <f t="shared" si="22"/>
        <v>45305</v>
      </c>
      <c r="K752" s="14">
        <f t="shared" si="23"/>
        <v>1</v>
      </c>
      <c r="L752" s="13"/>
      <c r="M752" s="13"/>
    </row>
    <row r="753" spans="1:13" x14ac:dyDescent="0.25">
      <c r="A753" s="1" t="s">
        <v>1764</v>
      </c>
      <c r="B753" s="1" t="s">
        <v>2494</v>
      </c>
      <c r="C753" s="1" t="s">
        <v>2495</v>
      </c>
      <c r="D753" s="1" t="s">
        <v>45</v>
      </c>
      <c r="E753" s="1" t="s">
        <v>585</v>
      </c>
      <c r="F753" s="1" t="s">
        <v>14</v>
      </c>
      <c r="G753" s="1" t="s">
        <v>35</v>
      </c>
      <c r="H753" s="1" t="s">
        <v>16</v>
      </c>
      <c r="I753" s="1">
        <v>4865</v>
      </c>
      <c r="J753" s="12">
        <f t="shared" si="22"/>
        <v>45324</v>
      </c>
      <c r="K753" s="14">
        <f t="shared" si="23"/>
        <v>2</v>
      </c>
      <c r="L753" s="13"/>
      <c r="M753" s="13"/>
    </row>
    <row r="754" spans="1:13" x14ac:dyDescent="0.25">
      <c r="A754" s="1" t="s">
        <v>2496</v>
      </c>
      <c r="B754" s="1" t="s">
        <v>2497</v>
      </c>
      <c r="C754" s="1" t="s">
        <v>2498</v>
      </c>
      <c r="D754" s="1" t="s">
        <v>20</v>
      </c>
      <c r="E754" s="1" t="s">
        <v>1787</v>
      </c>
      <c r="F754" s="1" t="s">
        <v>29</v>
      </c>
      <c r="G754" s="1" t="s">
        <v>23</v>
      </c>
      <c r="H754" s="1" t="s">
        <v>55</v>
      </c>
      <c r="I754" s="1">
        <v>0</v>
      </c>
      <c r="J754" s="12">
        <f t="shared" si="22"/>
        <v>45302</v>
      </c>
      <c r="K754" s="14">
        <f t="shared" si="23"/>
        <v>1</v>
      </c>
      <c r="L754" s="13"/>
      <c r="M754" s="13"/>
    </row>
    <row r="755" spans="1:13" x14ac:dyDescent="0.25">
      <c r="A755" s="1" t="s">
        <v>451</v>
      </c>
      <c r="B755" s="1" t="s">
        <v>2499</v>
      </c>
      <c r="C755" s="1" t="s">
        <v>2500</v>
      </c>
      <c r="D755" s="1" t="s">
        <v>45</v>
      </c>
      <c r="E755" s="1" t="s">
        <v>2501</v>
      </c>
      <c r="F755" s="1" t="s">
        <v>40</v>
      </c>
      <c r="G755" s="1" t="s">
        <v>23</v>
      </c>
      <c r="H755" s="1" t="s">
        <v>24</v>
      </c>
      <c r="I755" s="1">
        <v>2100</v>
      </c>
      <c r="J755" s="12">
        <f t="shared" si="22"/>
        <v>45313</v>
      </c>
      <c r="K755" s="14">
        <f t="shared" si="23"/>
        <v>1</v>
      </c>
      <c r="L755" s="13"/>
      <c r="M755" s="13"/>
    </row>
    <row r="756" spans="1:13" x14ac:dyDescent="0.25">
      <c r="A756" s="1" t="s">
        <v>1718</v>
      </c>
      <c r="B756" s="1" t="s">
        <v>2502</v>
      </c>
      <c r="C756" s="1" t="s">
        <v>2503</v>
      </c>
      <c r="D756" s="1" t="s">
        <v>12</v>
      </c>
      <c r="E756" s="1" t="s">
        <v>1387</v>
      </c>
      <c r="F756" s="1" t="s">
        <v>22</v>
      </c>
      <c r="G756" s="1" t="s">
        <v>35</v>
      </c>
      <c r="H756" s="1" t="s">
        <v>24</v>
      </c>
      <c r="I756" s="1">
        <v>0</v>
      </c>
      <c r="J756" s="12">
        <f t="shared" si="22"/>
        <v>45298</v>
      </c>
      <c r="K756" s="14">
        <f t="shared" si="23"/>
        <v>1</v>
      </c>
      <c r="L756" s="13"/>
      <c r="M756" s="13"/>
    </row>
    <row r="757" spans="1:13" x14ac:dyDescent="0.25">
      <c r="A757" s="1" t="s">
        <v>1845</v>
      </c>
      <c r="B757" s="1" t="s">
        <v>2504</v>
      </c>
      <c r="C757" s="1" t="s">
        <v>2505</v>
      </c>
      <c r="D757" s="1" t="s">
        <v>12</v>
      </c>
      <c r="E757" s="1" t="s">
        <v>2506</v>
      </c>
      <c r="F757" s="1" t="s">
        <v>22</v>
      </c>
      <c r="G757" s="1" t="s">
        <v>15</v>
      </c>
      <c r="H757" s="1" t="s">
        <v>55</v>
      </c>
      <c r="I757" s="1">
        <v>0</v>
      </c>
      <c r="J757" s="12">
        <f t="shared" si="22"/>
        <v>45305</v>
      </c>
      <c r="K757" s="14">
        <f t="shared" si="23"/>
        <v>1</v>
      </c>
      <c r="L757" s="13"/>
      <c r="M757" s="13"/>
    </row>
    <row r="758" spans="1:13" x14ac:dyDescent="0.25">
      <c r="A758" s="1" t="s">
        <v>2507</v>
      </c>
      <c r="B758" s="1" t="s">
        <v>2508</v>
      </c>
      <c r="C758" s="1" t="s">
        <v>2509</v>
      </c>
      <c r="D758" s="1" t="s">
        <v>20</v>
      </c>
      <c r="E758" s="1" t="s">
        <v>2510</v>
      </c>
      <c r="F758" s="1" t="s">
        <v>40</v>
      </c>
      <c r="G758" s="1" t="s">
        <v>23</v>
      </c>
      <c r="H758" s="1" t="s">
        <v>30</v>
      </c>
      <c r="I758" s="1">
        <v>0</v>
      </c>
      <c r="J758" s="12">
        <f t="shared" si="22"/>
        <v>45302</v>
      </c>
      <c r="K758" s="14">
        <f t="shared" si="23"/>
        <v>1</v>
      </c>
      <c r="L758" s="13"/>
      <c r="M758" s="13"/>
    </row>
    <row r="759" spans="1:13" x14ac:dyDescent="0.25">
      <c r="A759" s="1" t="s">
        <v>2511</v>
      </c>
      <c r="B759" s="1" t="s">
        <v>2512</v>
      </c>
      <c r="C759" s="1" t="s">
        <v>2513</v>
      </c>
      <c r="D759" s="1" t="s">
        <v>12</v>
      </c>
      <c r="E759" s="1" t="s">
        <v>1262</v>
      </c>
      <c r="F759" s="1" t="s">
        <v>75</v>
      </c>
      <c r="G759" s="1" t="s">
        <v>15</v>
      </c>
      <c r="H759" s="1" t="s">
        <v>16</v>
      </c>
      <c r="I759" s="1">
        <v>0</v>
      </c>
      <c r="J759" s="12">
        <f t="shared" si="22"/>
        <v>45319</v>
      </c>
      <c r="K759" s="14">
        <f t="shared" si="23"/>
        <v>1</v>
      </c>
      <c r="L759" s="13"/>
      <c r="M759" s="13"/>
    </row>
    <row r="760" spans="1:13" x14ac:dyDescent="0.25">
      <c r="A760" s="1" t="s">
        <v>2514</v>
      </c>
      <c r="B760" s="1" t="s">
        <v>1268</v>
      </c>
      <c r="C760" s="1" t="s">
        <v>2515</v>
      </c>
      <c r="D760" s="1" t="s">
        <v>20</v>
      </c>
      <c r="E760" s="1" t="s">
        <v>2516</v>
      </c>
      <c r="F760" s="1" t="s">
        <v>22</v>
      </c>
      <c r="G760" s="1" t="s">
        <v>23</v>
      </c>
      <c r="H760" s="1" t="s">
        <v>24</v>
      </c>
      <c r="I760" s="1">
        <v>0</v>
      </c>
      <c r="J760" s="12">
        <f t="shared" si="22"/>
        <v>45292</v>
      </c>
      <c r="K760" s="14">
        <f t="shared" si="23"/>
        <v>1</v>
      </c>
      <c r="L760" s="13"/>
      <c r="M760" s="13"/>
    </row>
    <row r="761" spans="1:13" x14ac:dyDescent="0.25">
      <c r="A761" s="1" t="s">
        <v>451</v>
      </c>
      <c r="B761" s="1" t="s">
        <v>2517</v>
      </c>
      <c r="C761" s="1" t="s">
        <v>2518</v>
      </c>
      <c r="D761" s="1" t="s">
        <v>45</v>
      </c>
      <c r="E761" s="1" t="s">
        <v>2037</v>
      </c>
      <c r="F761" s="1" t="s">
        <v>75</v>
      </c>
      <c r="G761" s="1" t="s">
        <v>15</v>
      </c>
      <c r="H761" s="1" t="s">
        <v>30</v>
      </c>
      <c r="I761" s="1">
        <v>2647</v>
      </c>
      <c r="J761" s="12">
        <f t="shared" si="22"/>
        <v>45317</v>
      </c>
      <c r="K761" s="14">
        <f t="shared" si="23"/>
        <v>1</v>
      </c>
      <c r="L761" s="13"/>
      <c r="M761" s="13"/>
    </row>
    <row r="762" spans="1:13" x14ac:dyDescent="0.25">
      <c r="A762" s="1" t="s">
        <v>2519</v>
      </c>
      <c r="B762" s="1" t="s">
        <v>2520</v>
      </c>
      <c r="C762" s="1" t="s">
        <v>2521</v>
      </c>
      <c r="D762" s="1" t="s">
        <v>20</v>
      </c>
      <c r="E762" s="1" t="s">
        <v>2522</v>
      </c>
      <c r="F762" s="1" t="s">
        <v>14</v>
      </c>
      <c r="G762" s="1" t="s">
        <v>35</v>
      </c>
      <c r="H762" s="1" t="s">
        <v>30</v>
      </c>
      <c r="I762" s="1">
        <v>0</v>
      </c>
      <c r="J762" s="12">
        <f t="shared" si="22"/>
        <v>45319</v>
      </c>
      <c r="K762" s="14">
        <f t="shared" si="23"/>
        <v>1</v>
      </c>
      <c r="L762" s="13"/>
      <c r="M762" s="13"/>
    </row>
    <row r="763" spans="1:13" x14ac:dyDescent="0.25">
      <c r="A763" s="1" t="s">
        <v>433</v>
      </c>
      <c r="B763" s="1" t="s">
        <v>2523</v>
      </c>
      <c r="C763" s="1" t="s">
        <v>2524</v>
      </c>
      <c r="D763" s="1" t="s">
        <v>45</v>
      </c>
      <c r="E763" s="1" t="s">
        <v>365</v>
      </c>
      <c r="F763" s="1" t="s">
        <v>40</v>
      </c>
      <c r="G763" s="1" t="s">
        <v>35</v>
      </c>
      <c r="H763" s="1" t="s">
        <v>55</v>
      </c>
      <c r="I763" s="1">
        <v>4781</v>
      </c>
      <c r="J763" s="12">
        <f t="shared" si="22"/>
        <v>45299</v>
      </c>
      <c r="K763" s="14">
        <f t="shared" si="23"/>
        <v>1</v>
      </c>
      <c r="L763" s="13"/>
      <c r="M763" s="13"/>
    </row>
    <row r="764" spans="1:13" x14ac:dyDescent="0.25">
      <c r="A764" s="1" t="s">
        <v>299</v>
      </c>
      <c r="B764" s="1" t="s">
        <v>2525</v>
      </c>
      <c r="C764" s="1" t="s">
        <v>2526</v>
      </c>
      <c r="D764" s="1" t="s">
        <v>45</v>
      </c>
      <c r="E764" s="1" t="s">
        <v>821</v>
      </c>
      <c r="F764" s="1" t="s">
        <v>22</v>
      </c>
      <c r="G764" s="1" t="s">
        <v>15</v>
      </c>
      <c r="H764" s="1" t="s">
        <v>41</v>
      </c>
      <c r="I764" s="1">
        <v>3450</v>
      </c>
      <c r="J764" s="12">
        <f t="shared" si="22"/>
        <v>45304</v>
      </c>
      <c r="K764" s="14">
        <f t="shared" si="23"/>
        <v>1</v>
      </c>
      <c r="L764" s="13"/>
      <c r="M764" s="13"/>
    </row>
    <row r="765" spans="1:13" x14ac:dyDescent="0.25">
      <c r="A765" s="1" t="s">
        <v>408</v>
      </c>
      <c r="B765" s="1" t="s">
        <v>2527</v>
      </c>
      <c r="C765" s="1" t="s">
        <v>2528</v>
      </c>
      <c r="D765" s="1" t="s">
        <v>45</v>
      </c>
      <c r="E765" s="1" t="s">
        <v>1037</v>
      </c>
      <c r="F765" s="1" t="s">
        <v>22</v>
      </c>
      <c r="G765" s="1" t="s">
        <v>23</v>
      </c>
      <c r="H765" s="1" t="s">
        <v>16</v>
      </c>
      <c r="I765" s="1">
        <v>422</v>
      </c>
      <c r="J765" s="12">
        <f t="shared" si="22"/>
        <v>45325</v>
      </c>
      <c r="K765" s="14">
        <f t="shared" si="23"/>
        <v>2</v>
      </c>
      <c r="L765" s="13"/>
      <c r="M765" s="13"/>
    </row>
    <row r="766" spans="1:13" x14ac:dyDescent="0.25">
      <c r="A766" s="1" t="s">
        <v>2529</v>
      </c>
      <c r="B766" s="1" t="s">
        <v>2530</v>
      </c>
      <c r="C766" s="1" t="s">
        <v>2531</v>
      </c>
      <c r="D766" s="1" t="s">
        <v>20</v>
      </c>
      <c r="E766" s="1" t="s">
        <v>2532</v>
      </c>
      <c r="F766" s="1" t="s">
        <v>75</v>
      </c>
      <c r="G766" s="1" t="s">
        <v>15</v>
      </c>
      <c r="H766" s="1" t="s">
        <v>55</v>
      </c>
      <c r="I766" s="1">
        <v>0</v>
      </c>
      <c r="J766" s="12">
        <f t="shared" si="22"/>
        <v>45315</v>
      </c>
      <c r="K766" s="14">
        <f t="shared" si="23"/>
        <v>1</v>
      </c>
      <c r="L766" s="13"/>
      <c r="M766" s="13"/>
    </row>
    <row r="767" spans="1:13" x14ac:dyDescent="0.25">
      <c r="A767" s="1" t="s">
        <v>2447</v>
      </c>
      <c r="B767" s="1" t="s">
        <v>2533</v>
      </c>
      <c r="C767" s="1" t="s">
        <v>2534</v>
      </c>
      <c r="D767" s="1" t="s">
        <v>20</v>
      </c>
      <c r="E767" s="1" t="s">
        <v>2535</v>
      </c>
      <c r="F767" s="1" t="s">
        <v>14</v>
      </c>
      <c r="G767" s="1" t="s">
        <v>15</v>
      </c>
      <c r="H767" s="1" t="s">
        <v>16</v>
      </c>
      <c r="I767" s="1">
        <v>0</v>
      </c>
      <c r="J767" s="12">
        <f t="shared" si="22"/>
        <v>45304</v>
      </c>
      <c r="K767" s="14">
        <f t="shared" si="23"/>
        <v>1</v>
      </c>
      <c r="L767" s="13"/>
      <c r="M767" s="13"/>
    </row>
    <row r="768" spans="1:13" x14ac:dyDescent="0.25">
      <c r="A768" s="1" t="s">
        <v>2536</v>
      </c>
      <c r="B768" s="1" t="s">
        <v>1890</v>
      </c>
      <c r="C768" s="1" t="s">
        <v>2537</v>
      </c>
      <c r="D768" s="1" t="s">
        <v>12</v>
      </c>
      <c r="E768" s="1" t="s">
        <v>1139</v>
      </c>
      <c r="F768" s="1" t="s">
        <v>40</v>
      </c>
      <c r="G768" s="1" t="s">
        <v>23</v>
      </c>
      <c r="H768" s="1" t="s">
        <v>16</v>
      </c>
      <c r="I768" s="1">
        <v>0</v>
      </c>
      <c r="J768" s="12">
        <f t="shared" si="22"/>
        <v>45308</v>
      </c>
      <c r="K768" s="14">
        <f t="shared" si="23"/>
        <v>1</v>
      </c>
      <c r="L768" s="13"/>
      <c r="M768" s="13"/>
    </row>
    <row r="769" spans="1:13" x14ac:dyDescent="0.25">
      <c r="A769" s="1" t="s">
        <v>2538</v>
      </c>
      <c r="B769" s="1" t="s">
        <v>2539</v>
      </c>
      <c r="C769" s="1" t="s">
        <v>2540</v>
      </c>
      <c r="D769" s="1" t="s">
        <v>12</v>
      </c>
      <c r="E769" s="1" t="s">
        <v>2541</v>
      </c>
      <c r="F769" s="1" t="s">
        <v>14</v>
      </c>
      <c r="G769" s="1" t="s">
        <v>23</v>
      </c>
      <c r="H769" s="1" t="s">
        <v>55</v>
      </c>
      <c r="I769" s="1">
        <v>0</v>
      </c>
      <c r="J769" s="12">
        <f t="shared" si="22"/>
        <v>45321</v>
      </c>
      <c r="K769" s="14">
        <f t="shared" si="23"/>
        <v>1</v>
      </c>
      <c r="L769" s="13"/>
      <c r="M769" s="13"/>
    </row>
    <row r="770" spans="1:13" x14ac:dyDescent="0.25">
      <c r="A770" s="1" t="s">
        <v>2542</v>
      </c>
      <c r="B770" s="1" t="s">
        <v>2543</v>
      </c>
      <c r="C770" s="1" t="s">
        <v>2544</v>
      </c>
      <c r="D770" s="1" t="s">
        <v>12</v>
      </c>
      <c r="E770" s="1" t="s">
        <v>1008</v>
      </c>
      <c r="F770" s="1" t="s">
        <v>29</v>
      </c>
      <c r="G770" s="1" t="s">
        <v>35</v>
      </c>
      <c r="H770" s="1" t="s">
        <v>16</v>
      </c>
      <c r="I770" s="1">
        <v>0</v>
      </c>
      <c r="J770" s="12">
        <f t="shared" si="22"/>
        <v>45307</v>
      </c>
      <c r="K770" s="14">
        <f t="shared" si="23"/>
        <v>1</v>
      </c>
      <c r="L770" s="13"/>
      <c r="M770" s="13"/>
    </row>
    <row r="771" spans="1:13" x14ac:dyDescent="0.25">
      <c r="A771" s="1" t="s">
        <v>1191</v>
      </c>
      <c r="B771" s="1" t="s">
        <v>2545</v>
      </c>
      <c r="C771" s="1" t="s">
        <v>2546</v>
      </c>
      <c r="D771" s="1" t="s">
        <v>20</v>
      </c>
      <c r="E771" s="1" t="s">
        <v>91</v>
      </c>
      <c r="F771" s="1" t="s">
        <v>40</v>
      </c>
      <c r="G771" s="1" t="s">
        <v>23</v>
      </c>
      <c r="H771" s="1" t="s">
        <v>24</v>
      </c>
      <c r="I771" s="1">
        <v>0</v>
      </c>
      <c r="J771" s="12">
        <f t="shared" si="22"/>
        <v>45306</v>
      </c>
      <c r="K771" s="14">
        <f t="shared" si="23"/>
        <v>1</v>
      </c>
      <c r="L771" s="13"/>
      <c r="M771" s="13"/>
    </row>
    <row r="772" spans="1:13" x14ac:dyDescent="0.25">
      <c r="A772" s="1" t="s">
        <v>2547</v>
      </c>
      <c r="B772" s="1" t="s">
        <v>2548</v>
      </c>
      <c r="C772" s="1" t="s">
        <v>2549</v>
      </c>
      <c r="D772" s="1" t="s">
        <v>12</v>
      </c>
      <c r="E772" s="1" t="s">
        <v>1819</v>
      </c>
      <c r="F772" s="1" t="s">
        <v>75</v>
      </c>
      <c r="G772" s="1" t="s">
        <v>35</v>
      </c>
      <c r="H772" s="1" t="s">
        <v>55</v>
      </c>
      <c r="I772" s="1">
        <v>0</v>
      </c>
      <c r="J772" s="12">
        <f t="shared" ref="J772:J835" si="24">INT(C772)</f>
        <v>45320</v>
      </c>
      <c r="K772" s="14">
        <f t="shared" ref="K772:K835" si="25">MONTH(C772)</f>
        <v>1</v>
      </c>
      <c r="L772" s="13"/>
      <c r="M772" s="13"/>
    </row>
    <row r="773" spans="1:13" x14ac:dyDescent="0.25">
      <c r="A773" s="1" t="s">
        <v>2550</v>
      </c>
      <c r="B773" s="1" t="s">
        <v>2551</v>
      </c>
      <c r="C773" s="1" t="s">
        <v>2552</v>
      </c>
      <c r="D773" s="1" t="s">
        <v>12</v>
      </c>
      <c r="E773" s="1" t="s">
        <v>114</v>
      </c>
      <c r="F773" s="1" t="s">
        <v>40</v>
      </c>
      <c r="G773" s="1" t="s">
        <v>23</v>
      </c>
      <c r="H773" s="1" t="s">
        <v>41</v>
      </c>
      <c r="I773" s="1">
        <v>0</v>
      </c>
      <c r="J773" s="12">
        <f t="shared" si="24"/>
        <v>45300</v>
      </c>
      <c r="K773" s="14">
        <f t="shared" si="25"/>
        <v>1</v>
      </c>
      <c r="L773" s="13"/>
      <c r="M773" s="13"/>
    </row>
    <row r="774" spans="1:13" x14ac:dyDescent="0.25">
      <c r="A774" s="1" t="s">
        <v>1969</v>
      </c>
      <c r="B774" s="1" t="s">
        <v>2553</v>
      </c>
      <c r="C774" s="1" t="s">
        <v>2554</v>
      </c>
      <c r="D774" s="1" t="s">
        <v>45</v>
      </c>
      <c r="E774" s="1" t="s">
        <v>804</v>
      </c>
      <c r="F774" s="1" t="s">
        <v>75</v>
      </c>
      <c r="G774" s="1" t="s">
        <v>35</v>
      </c>
      <c r="H774" s="1" t="s">
        <v>16</v>
      </c>
      <c r="I774" s="1">
        <v>991</v>
      </c>
      <c r="J774" s="12">
        <f t="shared" si="24"/>
        <v>45296</v>
      </c>
      <c r="K774" s="14">
        <f t="shared" si="25"/>
        <v>1</v>
      </c>
      <c r="L774" s="13"/>
      <c r="M774" s="13"/>
    </row>
    <row r="775" spans="1:13" x14ac:dyDescent="0.25">
      <c r="A775" s="1" t="s">
        <v>139</v>
      </c>
      <c r="B775" s="1" t="s">
        <v>2555</v>
      </c>
      <c r="C775" s="1" t="s">
        <v>2556</v>
      </c>
      <c r="D775" s="1" t="s">
        <v>20</v>
      </c>
      <c r="E775" s="1" t="s">
        <v>1573</v>
      </c>
      <c r="F775" s="1" t="s">
        <v>75</v>
      </c>
      <c r="G775" s="1" t="s">
        <v>15</v>
      </c>
      <c r="H775" s="1" t="s">
        <v>30</v>
      </c>
      <c r="I775" s="1">
        <v>0</v>
      </c>
      <c r="J775" s="12">
        <f t="shared" si="24"/>
        <v>45302</v>
      </c>
      <c r="K775" s="14">
        <f t="shared" si="25"/>
        <v>1</v>
      </c>
      <c r="L775" s="13"/>
      <c r="M775" s="13"/>
    </row>
    <row r="776" spans="1:13" x14ac:dyDescent="0.25">
      <c r="A776" s="1" t="s">
        <v>586</v>
      </c>
      <c r="B776" s="1" t="s">
        <v>2557</v>
      </c>
      <c r="C776" s="1" t="s">
        <v>2558</v>
      </c>
      <c r="D776" s="1" t="s">
        <v>20</v>
      </c>
      <c r="E776" s="1" t="s">
        <v>2559</v>
      </c>
      <c r="F776" s="1" t="s">
        <v>29</v>
      </c>
      <c r="G776" s="1" t="s">
        <v>23</v>
      </c>
      <c r="H776" s="1" t="s">
        <v>16</v>
      </c>
      <c r="I776" s="1">
        <v>0</v>
      </c>
      <c r="J776" s="12">
        <f t="shared" si="24"/>
        <v>45312</v>
      </c>
      <c r="K776" s="14">
        <f t="shared" si="25"/>
        <v>1</v>
      </c>
      <c r="L776" s="13"/>
      <c r="M776" s="13"/>
    </row>
    <row r="777" spans="1:13" x14ac:dyDescent="0.25">
      <c r="A777" s="1" t="s">
        <v>478</v>
      </c>
      <c r="B777" s="1" t="s">
        <v>2560</v>
      </c>
      <c r="C777" s="1" t="s">
        <v>2561</v>
      </c>
      <c r="D777" s="1" t="s">
        <v>12</v>
      </c>
      <c r="E777" s="1" t="s">
        <v>914</v>
      </c>
      <c r="F777" s="1" t="s">
        <v>22</v>
      </c>
      <c r="G777" s="1" t="s">
        <v>23</v>
      </c>
      <c r="H777" s="1" t="s">
        <v>16</v>
      </c>
      <c r="I777" s="1">
        <v>0</v>
      </c>
      <c r="J777" s="12">
        <f t="shared" si="24"/>
        <v>45300</v>
      </c>
      <c r="K777" s="14">
        <f t="shared" si="25"/>
        <v>1</v>
      </c>
      <c r="L777" s="13"/>
      <c r="M777" s="13"/>
    </row>
    <row r="778" spans="1:13" x14ac:dyDescent="0.25">
      <c r="A778" s="1" t="s">
        <v>2138</v>
      </c>
      <c r="B778" s="1" t="s">
        <v>2562</v>
      </c>
      <c r="C778" s="1" t="s">
        <v>2563</v>
      </c>
      <c r="D778" s="1" t="s">
        <v>12</v>
      </c>
      <c r="E778" s="1" t="s">
        <v>769</v>
      </c>
      <c r="F778" s="1" t="s">
        <v>40</v>
      </c>
      <c r="G778" s="1" t="s">
        <v>23</v>
      </c>
      <c r="H778" s="1" t="s">
        <v>41</v>
      </c>
      <c r="I778" s="1">
        <v>0</v>
      </c>
      <c r="J778" s="12">
        <f t="shared" si="24"/>
        <v>45302</v>
      </c>
      <c r="K778" s="14">
        <f t="shared" si="25"/>
        <v>1</v>
      </c>
      <c r="L778" s="13"/>
      <c r="M778" s="13"/>
    </row>
    <row r="779" spans="1:13" x14ac:dyDescent="0.25">
      <c r="A779" s="1" t="s">
        <v>1903</v>
      </c>
      <c r="B779" s="1" t="s">
        <v>2564</v>
      </c>
      <c r="C779" s="1" t="s">
        <v>2565</v>
      </c>
      <c r="D779" s="1" t="s">
        <v>45</v>
      </c>
      <c r="E779" s="1" t="s">
        <v>957</v>
      </c>
      <c r="F779" s="1" t="s">
        <v>29</v>
      </c>
      <c r="G779" s="1" t="s">
        <v>23</v>
      </c>
      <c r="H779" s="1" t="s">
        <v>55</v>
      </c>
      <c r="I779" s="1">
        <v>3822</v>
      </c>
      <c r="J779" s="12">
        <f t="shared" si="24"/>
        <v>45315</v>
      </c>
      <c r="K779" s="14">
        <f t="shared" si="25"/>
        <v>1</v>
      </c>
      <c r="L779" s="13"/>
      <c r="M779" s="13"/>
    </row>
    <row r="780" spans="1:13" x14ac:dyDescent="0.25">
      <c r="A780" s="1" t="s">
        <v>2566</v>
      </c>
      <c r="B780" s="1" t="s">
        <v>2567</v>
      </c>
      <c r="C780" s="1" t="s">
        <v>2568</v>
      </c>
      <c r="D780" s="1" t="s">
        <v>45</v>
      </c>
      <c r="E780" s="1" t="s">
        <v>2569</v>
      </c>
      <c r="F780" s="1" t="s">
        <v>22</v>
      </c>
      <c r="G780" s="1" t="s">
        <v>23</v>
      </c>
      <c r="H780" s="1" t="s">
        <v>16</v>
      </c>
      <c r="I780" s="1">
        <v>3372</v>
      </c>
      <c r="J780" s="12">
        <f t="shared" si="24"/>
        <v>45325</v>
      </c>
      <c r="K780" s="14">
        <f t="shared" si="25"/>
        <v>2</v>
      </c>
      <c r="L780" s="13"/>
      <c r="M780" s="13"/>
    </row>
    <row r="781" spans="1:13" x14ac:dyDescent="0.25">
      <c r="A781" s="1" t="s">
        <v>2304</v>
      </c>
      <c r="B781" s="1" t="s">
        <v>2570</v>
      </c>
      <c r="C781" s="1" t="s">
        <v>1623</v>
      </c>
      <c r="D781" s="1" t="s">
        <v>20</v>
      </c>
      <c r="E781" s="1" t="s">
        <v>1228</v>
      </c>
      <c r="F781" s="1" t="s">
        <v>40</v>
      </c>
      <c r="G781" s="1" t="s">
        <v>15</v>
      </c>
      <c r="H781" s="1" t="s">
        <v>55</v>
      </c>
      <c r="I781" s="1">
        <v>0</v>
      </c>
      <c r="J781" s="12">
        <f t="shared" si="24"/>
        <v>45309</v>
      </c>
      <c r="K781" s="14">
        <f t="shared" si="25"/>
        <v>1</v>
      </c>
      <c r="L781" s="13"/>
      <c r="M781" s="13"/>
    </row>
    <row r="782" spans="1:13" x14ac:dyDescent="0.25">
      <c r="A782" s="1" t="s">
        <v>2144</v>
      </c>
      <c r="B782" s="1" t="s">
        <v>2571</v>
      </c>
      <c r="C782" s="1" t="s">
        <v>2572</v>
      </c>
      <c r="D782" s="1" t="s">
        <v>20</v>
      </c>
      <c r="E782" s="1" t="s">
        <v>2573</v>
      </c>
      <c r="F782" s="1" t="s">
        <v>14</v>
      </c>
      <c r="G782" s="1" t="s">
        <v>35</v>
      </c>
      <c r="H782" s="1" t="s">
        <v>24</v>
      </c>
      <c r="I782" s="1">
        <v>0</v>
      </c>
      <c r="J782" s="12">
        <f t="shared" si="24"/>
        <v>45310</v>
      </c>
      <c r="K782" s="14">
        <f t="shared" si="25"/>
        <v>1</v>
      </c>
      <c r="L782" s="13"/>
      <c r="M782" s="13"/>
    </row>
    <row r="783" spans="1:13" x14ac:dyDescent="0.25">
      <c r="A783" s="1" t="s">
        <v>2574</v>
      </c>
      <c r="B783" s="1" t="s">
        <v>2575</v>
      </c>
      <c r="C783" s="1" t="s">
        <v>2576</v>
      </c>
      <c r="D783" s="1" t="s">
        <v>45</v>
      </c>
      <c r="E783" s="1" t="s">
        <v>322</v>
      </c>
      <c r="F783" s="1" t="s">
        <v>29</v>
      </c>
      <c r="G783" s="1" t="s">
        <v>23</v>
      </c>
      <c r="H783" s="1" t="s">
        <v>55</v>
      </c>
      <c r="I783" s="1">
        <v>3020</v>
      </c>
      <c r="J783" s="12">
        <f t="shared" si="24"/>
        <v>45318</v>
      </c>
      <c r="K783" s="14">
        <f t="shared" si="25"/>
        <v>1</v>
      </c>
      <c r="L783" s="13"/>
      <c r="M783" s="13"/>
    </row>
    <row r="784" spans="1:13" x14ac:dyDescent="0.25">
      <c r="A784" s="1" t="s">
        <v>2577</v>
      </c>
      <c r="B784" s="1" t="s">
        <v>2578</v>
      </c>
      <c r="C784" s="1" t="s">
        <v>2579</v>
      </c>
      <c r="D784" s="1" t="s">
        <v>20</v>
      </c>
      <c r="E784" s="1" t="s">
        <v>1064</v>
      </c>
      <c r="F784" s="1" t="s">
        <v>22</v>
      </c>
      <c r="G784" s="1" t="s">
        <v>23</v>
      </c>
      <c r="H784" s="1" t="s">
        <v>41</v>
      </c>
      <c r="I784" s="1">
        <v>0</v>
      </c>
      <c r="J784" s="12">
        <f t="shared" si="24"/>
        <v>45311</v>
      </c>
      <c r="K784" s="14">
        <f t="shared" si="25"/>
        <v>1</v>
      </c>
      <c r="L784" s="13"/>
      <c r="M784" s="13"/>
    </row>
    <row r="785" spans="1:13" x14ac:dyDescent="0.25">
      <c r="A785" s="1" t="s">
        <v>2580</v>
      </c>
      <c r="B785" s="1" t="s">
        <v>2581</v>
      </c>
      <c r="C785" s="1" t="s">
        <v>2582</v>
      </c>
      <c r="D785" s="1" t="s">
        <v>20</v>
      </c>
      <c r="E785" s="1" t="s">
        <v>2583</v>
      </c>
      <c r="F785" s="1" t="s">
        <v>14</v>
      </c>
      <c r="G785" s="1" t="s">
        <v>23</v>
      </c>
      <c r="H785" s="1" t="s">
        <v>55</v>
      </c>
      <c r="I785" s="1">
        <v>0</v>
      </c>
      <c r="J785" s="12">
        <f t="shared" si="24"/>
        <v>45303</v>
      </c>
      <c r="K785" s="14">
        <f t="shared" si="25"/>
        <v>1</v>
      </c>
      <c r="L785" s="13"/>
      <c r="M785" s="13"/>
    </row>
    <row r="786" spans="1:13" x14ac:dyDescent="0.25">
      <c r="A786" s="1" t="s">
        <v>2584</v>
      </c>
      <c r="B786" s="1" t="s">
        <v>2585</v>
      </c>
      <c r="C786" s="1" t="s">
        <v>2586</v>
      </c>
      <c r="D786" s="1" t="s">
        <v>12</v>
      </c>
      <c r="E786" s="1" t="s">
        <v>741</v>
      </c>
      <c r="F786" s="1" t="s">
        <v>29</v>
      </c>
      <c r="G786" s="1" t="s">
        <v>23</v>
      </c>
      <c r="H786" s="1" t="s">
        <v>30</v>
      </c>
      <c r="I786" s="1">
        <v>0</v>
      </c>
      <c r="J786" s="12">
        <f t="shared" si="24"/>
        <v>45314</v>
      </c>
      <c r="K786" s="14">
        <f t="shared" si="25"/>
        <v>1</v>
      </c>
      <c r="L786" s="13"/>
      <c r="M786" s="13"/>
    </row>
    <row r="787" spans="1:13" x14ac:dyDescent="0.25">
      <c r="A787" s="1" t="s">
        <v>2587</v>
      </c>
      <c r="B787" s="1" t="s">
        <v>2588</v>
      </c>
      <c r="C787" s="1" t="s">
        <v>2589</v>
      </c>
      <c r="D787" s="1" t="s">
        <v>12</v>
      </c>
      <c r="E787" s="1" t="s">
        <v>2590</v>
      </c>
      <c r="F787" s="1" t="s">
        <v>40</v>
      </c>
      <c r="G787" s="1" t="s">
        <v>23</v>
      </c>
      <c r="H787" s="1" t="s">
        <v>30</v>
      </c>
      <c r="I787" s="1">
        <v>0</v>
      </c>
      <c r="J787" s="12">
        <f t="shared" si="24"/>
        <v>45297</v>
      </c>
      <c r="K787" s="14">
        <f t="shared" si="25"/>
        <v>1</v>
      </c>
      <c r="L787" s="13"/>
      <c r="M787" s="13"/>
    </row>
    <row r="788" spans="1:13" x14ac:dyDescent="0.25">
      <c r="A788" s="1" t="s">
        <v>1767</v>
      </c>
      <c r="B788" s="1" t="s">
        <v>2591</v>
      </c>
      <c r="C788" s="1" t="s">
        <v>2592</v>
      </c>
      <c r="D788" s="1" t="s">
        <v>12</v>
      </c>
      <c r="E788" s="1" t="s">
        <v>1139</v>
      </c>
      <c r="F788" s="1" t="s">
        <v>75</v>
      </c>
      <c r="G788" s="1" t="s">
        <v>23</v>
      </c>
      <c r="H788" s="1" t="s">
        <v>24</v>
      </c>
      <c r="I788" s="1">
        <v>0</v>
      </c>
      <c r="J788" s="12">
        <f t="shared" si="24"/>
        <v>45320</v>
      </c>
      <c r="K788" s="14">
        <f t="shared" si="25"/>
        <v>1</v>
      </c>
      <c r="L788" s="13"/>
      <c r="M788" s="13"/>
    </row>
    <row r="789" spans="1:13" x14ac:dyDescent="0.25">
      <c r="A789" s="1" t="s">
        <v>2593</v>
      </c>
      <c r="B789" s="1" t="s">
        <v>2594</v>
      </c>
      <c r="C789" s="1" t="s">
        <v>2595</v>
      </c>
      <c r="D789" s="1" t="s">
        <v>20</v>
      </c>
      <c r="E789" s="1" t="s">
        <v>399</v>
      </c>
      <c r="F789" s="1" t="s">
        <v>22</v>
      </c>
      <c r="G789" s="1" t="s">
        <v>23</v>
      </c>
      <c r="H789" s="1" t="s">
        <v>16</v>
      </c>
      <c r="I789" s="1">
        <v>0</v>
      </c>
      <c r="J789" s="12">
        <f t="shared" si="24"/>
        <v>45303</v>
      </c>
      <c r="K789" s="14">
        <f t="shared" si="25"/>
        <v>1</v>
      </c>
      <c r="L789" s="13"/>
      <c r="M789" s="13"/>
    </row>
    <row r="790" spans="1:13" x14ac:dyDescent="0.25">
      <c r="A790" s="1" t="s">
        <v>701</v>
      </c>
      <c r="B790" s="1" t="s">
        <v>2596</v>
      </c>
      <c r="C790" s="1" t="s">
        <v>2597</v>
      </c>
      <c r="D790" s="1" t="s">
        <v>45</v>
      </c>
      <c r="E790" s="1" t="s">
        <v>991</v>
      </c>
      <c r="F790" s="1" t="s">
        <v>14</v>
      </c>
      <c r="G790" s="1" t="s">
        <v>15</v>
      </c>
      <c r="H790" s="1" t="s">
        <v>30</v>
      </c>
      <c r="I790" s="1">
        <v>4469</v>
      </c>
      <c r="J790" s="12">
        <f t="shared" si="24"/>
        <v>45324</v>
      </c>
      <c r="K790" s="14">
        <f t="shared" si="25"/>
        <v>2</v>
      </c>
      <c r="L790" s="13"/>
      <c r="M790" s="13"/>
    </row>
    <row r="791" spans="1:13" x14ac:dyDescent="0.25">
      <c r="A791" s="1" t="s">
        <v>941</v>
      </c>
      <c r="B791" s="1" t="s">
        <v>2598</v>
      </c>
      <c r="C791" s="1" t="s">
        <v>2599</v>
      </c>
      <c r="D791" s="1" t="s">
        <v>20</v>
      </c>
      <c r="E791" s="1" t="s">
        <v>2600</v>
      </c>
      <c r="F791" s="1" t="s">
        <v>75</v>
      </c>
      <c r="G791" s="1" t="s">
        <v>15</v>
      </c>
      <c r="H791" s="1" t="s">
        <v>30</v>
      </c>
      <c r="I791" s="1">
        <v>0</v>
      </c>
      <c r="J791" s="12">
        <f t="shared" si="24"/>
        <v>45307</v>
      </c>
      <c r="K791" s="14">
        <f t="shared" si="25"/>
        <v>1</v>
      </c>
      <c r="L791" s="13"/>
      <c r="M791" s="13"/>
    </row>
    <row r="792" spans="1:13" x14ac:dyDescent="0.25">
      <c r="A792" s="1" t="s">
        <v>1996</v>
      </c>
      <c r="B792" s="1" t="s">
        <v>2601</v>
      </c>
      <c r="C792" s="1" t="s">
        <v>2602</v>
      </c>
      <c r="D792" s="1" t="s">
        <v>45</v>
      </c>
      <c r="E792" s="1" t="s">
        <v>2603</v>
      </c>
      <c r="F792" s="1" t="s">
        <v>29</v>
      </c>
      <c r="G792" s="1" t="s">
        <v>35</v>
      </c>
      <c r="H792" s="1" t="s">
        <v>41</v>
      </c>
      <c r="I792" s="1">
        <v>3825</v>
      </c>
      <c r="J792" s="12">
        <f t="shared" si="24"/>
        <v>45316</v>
      </c>
      <c r="K792" s="14">
        <f t="shared" si="25"/>
        <v>1</v>
      </c>
      <c r="L792" s="13"/>
      <c r="M792" s="13"/>
    </row>
    <row r="793" spans="1:13" x14ac:dyDescent="0.25">
      <c r="A793" s="1" t="s">
        <v>815</v>
      </c>
      <c r="B793" s="1" t="s">
        <v>2604</v>
      </c>
      <c r="C793" s="1" t="s">
        <v>2605</v>
      </c>
      <c r="D793" s="1" t="s">
        <v>12</v>
      </c>
      <c r="E793" s="1" t="s">
        <v>91</v>
      </c>
      <c r="F793" s="1" t="s">
        <v>75</v>
      </c>
      <c r="G793" s="1" t="s">
        <v>15</v>
      </c>
      <c r="H793" s="1" t="s">
        <v>55</v>
      </c>
      <c r="I793" s="1">
        <v>0</v>
      </c>
      <c r="J793" s="12">
        <f t="shared" si="24"/>
        <v>45305</v>
      </c>
      <c r="K793" s="14">
        <f t="shared" si="25"/>
        <v>1</v>
      </c>
      <c r="L793" s="13"/>
      <c r="M793" s="13"/>
    </row>
    <row r="794" spans="1:13" x14ac:dyDescent="0.25">
      <c r="A794" s="1" t="s">
        <v>1492</v>
      </c>
      <c r="B794" s="1" t="s">
        <v>2606</v>
      </c>
      <c r="C794" s="1" t="s">
        <v>2607</v>
      </c>
      <c r="D794" s="1" t="s">
        <v>12</v>
      </c>
      <c r="E794" s="1" t="s">
        <v>2608</v>
      </c>
      <c r="F794" s="1" t="s">
        <v>75</v>
      </c>
      <c r="G794" s="1" t="s">
        <v>15</v>
      </c>
      <c r="H794" s="1" t="s">
        <v>30</v>
      </c>
      <c r="I794" s="1">
        <v>0</v>
      </c>
      <c r="J794" s="12">
        <f t="shared" si="24"/>
        <v>45315</v>
      </c>
      <c r="K794" s="14">
        <f t="shared" si="25"/>
        <v>1</v>
      </c>
      <c r="L794" s="13"/>
      <c r="M794" s="13"/>
    </row>
    <row r="795" spans="1:13" x14ac:dyDescent="0.25">
      <c r="A795" s="1" t="s">
        <v>2609</v>
      </c>
      <c r="B795" s="1" t="s">
        <v>2610</v>
      </c>
      <c r="C795" s="1" t="s">
        <v>2611</v>
      </c>
      <c r="D795" s="1" t="s">
        <v>45</v>
      </c>
      <c r="E795" s="1" t="s">
        <v>2612</v>
      </c>
      <c r="F795" s="1" t="s">
        <v>29</v>
      </c>
      <c r="G795" s="1" t="s">
        <v>23</v>
      </c>
      <c r="H795" s="1" t="s">
        <v>24</v>
      </c>
      <c r="I795" s="1">
        <v>4596</v>
      </c>
      <c r="J795" s="12">
        <f t="shared" si="24"/>
        <v>45307</v>
      </c>
      <c r="K795" s="14">
        <f t="shared" si="25"/>
        <v>1</v>
      </c>
      <c r="L795" s="13"/>
      <c r="M795" s="13"/>
    </row>
    <row r="796" spans="1:13" x14ac:dyDescent="0.25">
      <c r="A796" s="1" t="s">
        <v>260</v>
      </c>
      <c r="B796" s="1" t="s">
        <v>2613</v>
      </c>
      <c r="C796" s="1" t="s">
        <v>2614</v>
      </c>
      <c r="D796" s="1" t="s">
        <v>45</v>
      </c>
      <c r="E796" s="1" t="s">
        <v>2615</v>
      </c>
      <c r="F796" s="1" t="s">
        <v>14</v>
      </c>
      <c r="G796" s="1" t="s">
        <v>15</v>
      </c>
      <c r="H796" s="1" t="s">
        <v>30</v>
      </c>
      <c r="I796" s="1">
        <v>4733</v>
      </c>
      <c r="J796" s="12">
        <f t="shared" si="24"/>
        <v>45326</v>
      </c>
      <c r="K796" s="14">
        <f t="shared" si="25"/>
        <v>2</v>
      </c>
      <c r="L796" s="13"/>
      <c r="M796" s="13"/>
    </row>
    <row r="797" spans="1:13" x14ac:dyDescent="0.25">
      <c r="A797" s="1" t="s">
        <v>2616</v>
      </c>
      <c r="B797" s="1" t="s">
        <v>2617</v>
      </c>
      <c r="C797" s="1" t="s">
        <v>2618</v>
      </c>
      <c r="D797" s="1" t="s">
        <v>45</v>
      </c>
      <c r="E797" s="1" t="s">
        <v>2619</v>
      </c>
      <c r="F797" s="1" t="s">
        <v>29</v>
      </c>
      <c r="G797" s="1" t="s">
        <v>35</v>
      </c>
      <c r="H797" s="1" t="s">
        <v>16</v>
      </c>
      <c r="I797" s="1">
        <v>3991</v>
      </c>
      <c r="J797" s="12">
        <f t="shared" si="24"/>
        <v>45320</v>
      </c>
      <c r="K797" s="14">
        <f t="shared" si="25"/>
        <v>1</v>
      </c>
      <c r="L797" s="13"/>
      <c r="M797" s="13"/>
    </row>
    <row r="798" spans="1:13" x14ac:dyDescent="0.25">
      <c r="A798" s="1" t="s">
        <v>2620</v>
      </c>
      <c r="B798" s="1" t="s">
        <v>2621</v>
      </c>
      <c r="C798" s="1" t="s">
        <v>2622</v>
      </c>
      <c r="D798" s="1" t="s">
        <v>45</v>
      </c>
      <c r="E798" s="1" t="s">
        <v>2623</v>
      </c>
      <c r="F798" s="1" t="s">
        <v>22</v>
      </c>
      <c r="G798" s="1" t="s">
        <v>23</v>
      </c>
      <c r="H798" s="1" t="s">
        <v>41</v>
      </c>
      <c r="I798" s="1">
        <v>506</v>
      </c>
      <c r="J798" s="12">
        <f t="shared" si="24"/>
        <v>45318</v>
      </c>
      <c r="K798" s="14">
        <f t="shared" si="25"/>
        <v>1</v>
      </c>
      <c r="L798" s="13"/>
      <c r="M798" s="13"/>
    </row>
    <row r="799" spans="1:13" x14ac:dyDescent="0.25">
      <c r="A799" s="1" t="s">
        <v>2624</v>
      </c>
      <c r="B799" s="1" t="s">
        <v>2625</v>
      </c>
      <c r="C799" s="1" t="s">
        <v>2626</v>
      </c>
      <c r="D799" s="1" t="s">
        <v>45</v>
      </c>
      <c r="E799" s="1" t="s">
        <v>1030</v>
      </c>
      <c r="F799" s="1" t="s">
        <v>22</v>
      </c>
      <c r="G799" s="1" t="s">
        <v>15</v>
      </c>
      <c r="H799" s="1" t="s">
        <v>16</v>
      </c>
      <c r="I799" s="1">
        <v>2990</v>
      </c>
      <c r="J799" s="12">
        <f t="shared" si="24"/>
        <v>45312</v>
      </c>
      <c r="K799" s="14">
        <f t="shared" si="25"/>
        <v>1</v>
      </c>
      <c r="L799" s="13"/>
      <c r="M799" s="13"/>
    </row>
    <row r="800" spans="1:13" x14ac:dyDescent="0.25">
      <c r="A800" s="1" t="s">
        <v>115</v>
      </c>
      <c r="B800" s="1" t="s">
        <v>2627</v>
      </c>
      <c r="C800" s="1" t="s">
        <v>2628</v>
      </c>
      <c r="D800" s="1" t="s">
        <v>20</v>
      </c>
      <c r="E800" s="1" t="s">
        <v>178</v>
      </c>
      <c r="F800" s="1" t="s">
        <v>22</v>
      </c>
      <c r="G800" s="1" t="s">
        <v>15</v>
      </c>
      <c r="H800" s="1" t="s">
        <v>16</v>
      </c>
      <c r="I800" s="1">
        <v>0</v>
      </c>
      <c r="J800" s="12">
        <f t="shared" si="24"/>
        <v>45302</v>
      </c>
      <c r="K800" s="14">
        <f t="shared" si="25"/>
        <v>1</v>
      </c>
      <c r="L800" s="13"/>
      <c r="M800" s="13"/>
    </row>
    <row r="801" spans="1:13" x14ac:dyDescent="0.25">
      <c r="A801" s="1" t="s">
        <v>2629</v>
      </c>
      <c r="B801" s="1" t="s">
        <v>2630</v>
      </c>
      <c r="C801" s="1" t="s">
        <v>2631</v>
      </c>
      <c r="D801" s="1" t="s">
        <v>12</v>
      </c>
      <c r="E801" s="1" t="s">
        <v>2632</v>
      </c>
      <c r="F801" s="1" t="s">
        <v>29</v>
      </c>
      <c r="G801" s="1" t="s">
        <v>23</v>
      </c>
      <c r="H801" s="1" t="s">
        <v>30</v>
      </c>
      <c r="I801" s="1">
        <v>0</v>
      </c>
      <c r="J801" s="12">
        <f t="shared" si="24"/>
        <v>45315</v>
      </c>
      <c r="K801" s="14">
        <f t="shared" si="25"/>
        <v>1</v>
      </c>
      <c r="L801" s="13"/>
      <c r="M801" s="13"/>
    </row>
    <row r="802" spans="1:13" x14ac:dyDescent="0.25">
      <c r="A802" s="1" t="s">
        <v>598</v>
      </c>
      <c r="B802" s="1" t="s">
        <v>507</v>
      </c>
      <c r="C802" s="1" t="s">
        <v>2633</v>
      </c>
      <c r="D802" s="1" t="s">
        <v>12</v>
      </c>
      <c r="E802" s="1" t="s">
        <v>306</v>
      </c>
      <c r="F802" s="1" t="s">
        <v>40</v>
      </c>
      <c r="G802" s="1" t="s">
        <v>23</v>
      </c>
      <c r="H802" s="1" t="s">
        <v>16</v>
      </c>
      <c r="I802" s="1">
        <v>0</v>
      </c>
      <c r="J802" s="12">
        <f t="shared" si="24"/>
        <v>45301</v>
      </c>
      <c r="K802" s="14">
        <f t="shared" si="25"/>
        <v>1</v>
      </c>
      <c r="L802" s="13"/>
      <c r="M802" s="13"/>
    </row>
    <row r="803" spans="1:13" x14ac:dyDescent="0.25">
      <c r="A803" s="1" t="s">
        <v>323</v>
      </c>
      <c r="B803" s="1" t="s">
        <v>2634</v>
      </c>
      <c r="C803" s="1" t="s">
        <v>2635</v>
      </c>
      <c r="D803" s="1" t="s">
        <v>45</v>
      </c>
      <c r="E803" s="1" t="s">
        <v>2636</v>
      </c>
      <c r="F803" s="1" t="s">
        <v>22</v>
      </c>
      <c r="G803" s="1" t="s">
        <v>35</v>
      </c>
      <c r="H803" s="1" t="s">
        <v>24</v>
      </c>
      <c r="I803" s="1">
        <v>553</v>
      </c>
      <c r="J803" s="12">
        <f t="shared" si="24"/>
        <v>45299</v>
      </c>
      <c r="K803" s="14">
        <f t="shared" si="25"/>
        <v>1</v>
      </c>
      <c r="L803" s="13"/>
      <c r="M803" s="13"/>
    </row>
    <row r="804" spans="1:13" x14ac:dyDescent="0.25">
      <c r="A804" s="1" t="s">
        <v>370</v>
      </c>
      <c r="B804" s="1" t="s">
        <v>2637</v>
      </c>
      <c r="C804" s="1" t="s">
        <v>2638</v>
      </c>
      <c r="D804" s="1" t="s">
        <v>45</v>
      </c>
      <c r="E804" s="1" t="s">
        <v>1296</v>
      </c>
      <c r="F804" s="1" t="s">
        <v>40</v>
      </c>
      <c r="G804" s="1" t="s">
        <v>23</v>
      </c>
      <c r="H804" s="1" t="s">
        <v>24</v>
      </c>
      <c r="I804" s="1">
        <v>3775</v>
      </c>
      <c r="J804" s="12">
        <f t="shared" si="24"/>
        <v>45293</v>
      </c>
      <c r="K804" s="14">
        <f t="shared" si="25"/>
        <v>1</v>
      </c>
      <c r="L804" s="13"/>
      <c r="M804" s="13"/>
    </row>
    <row r="805" spans="1:13" x14ac:dyDescent="0.25">
      <c r="A805" s="1" t="s">
        <v>797</v>
      </c>
      <c r="B805" s="1" t="s">
        <v>2639</v>
      </c>
      <c r="C805" s="1" t="s">
        <v>2640</v>
      </c>
      <c r="D805" s="1" t="s">
        <v>20</v>
      </c>
      <c r="E805" s="1" t="s">
        <v>2641</v>
      </c>
      <c r="F805" s="1" t="s">
        <v>40</v>
      </c>
      <c r="G805" s="1" t="s">
        <v>15</v>
      </c>
      <c r="H805" s="1" t="s">
        <v>24</v>
      </c>
      <c r="I805" s="1">
        <v>0</v>
      </c>
      <c r="J805" s="12">
        <f t="shared" si="24"/>
        <v>45300</v>
      </c>
      <c r="K805" s="14">
        <f t="shared" si="25"/>
        <v>1</v>
      </c>
      <c r="L805" s="13"/>
      <c r="M805" s="13"/>
    </row>
    <row r="806" spans="1:13" x14ac:dyDescent="0.25">
      <c r="A806" s="1" t="s">
        <v>218</v>
      </c>
      <c r="B806" s="1" t="s">
        <v>2642</v>
      </c>
      <c r="C806" s="1" t="s">
        <v>2643</v>
      </c>
      <c r="D806" s="1" t="s">
        <v>45</v>
      </c>
      <c r="E806" s="1" t="s">
        <v>443</v>
      </c>
      <c r="F806" s="1" t="s">
        <v>75</v>
      </c>
      <c r="G806" s="1" t="s">
        <v>15</v>
      </c>
      <c r="H806" s="1" t="s">
        <v>30</v>
      </c>
      <c r="I806" s="1">
        <v>3663</v>
      </c>
      <c r="J806" s="12">
        <f t="shared" si="24"/>
        <v>45309</v>
      </c>
      <c r="K806" s="14">
        <f t="shared" si="25"/>
        <v>1</v>
      </c>
      <c r="L806" s="13"/>
      <c r="M806" s="13"/>
    </row>
    <row r="807" spans="1:13" x14ac:dyDescent="0.25">
      <c r="A807" s="1" t="s">
        <v>2039</v>
      </c>
      <c r="B807" s="1" t="s">
        <v>2644</v>
      </c>
      <c r="C807" s="1" t="s">
        <v>2645</v>
      </c>
      <c r="D807" s="1" t="s">
        <v>45</v>
      </c>
      <c r="E807" s="1" t="s">
        <v>2646</v>
      </c>
      <c r="F807" s="1" t="s">
        <v>29</v>
      </c>
      <c r="G807" s="1" t="s">
        <v>35</v>
      </c>
      <c r="H807" s="1" t="s">
        <v>41</v>
      </c>
      <c r="I807" s="1">
        <v>2943</v>
      </c>
      <c r="J807" s="12">
        <f t="shared" si="24"/>
        <v>45324</v>
      </c>
      <c r="K807" s="14">
        <f t="shared" si="25"/>
        <v>2</v>
      </c>
      <c r="L807" s="13"/>
      <c r="M807" s="13"/>
    </row>
    <row r="808" spans="1:13" x14ac:dyDescent="0.25">
      <c r="A808" s="1" t="s">
        <v>506</v>
      </c>
      <c r="B808" s="1" t="s">
        <v>2647</v>
      </c>
      <c r="C808" s="1" t="s">
        <v>2648</v>
      </c>
      <c r="D808" s="1" t="s">
        <v>45</v>
      </c>
      <c r="E808" s="1" t="s">
        <v>2649</v>
      </c>
      <c r="F808" s="1" t="s">
        <v>22</v>
      </c>
      <c r="G808" s="1" t="s">
        <v>35</v>
      </c>
      <c r="H808" s="1" t="s">
        <v>41</v>
      </c>
      <c r="I808" s="1">
        <v>3097</v>
      </c>
      <c r="J808" s="12">
        <f t="shared" si="24"/>
        <v>45322</v>
      </c>
      <c r="K808" s="14">
        <f t="shared" si="25"/>
        <v>1</v>
      </c>
      <c r="L808" s="13"/>
      <c r="M808" s="13"/>
    </row>
    <row r="809" spans="1:13" x14ac:dyDescent="0.25">
      <c r="A809" s="1" t="s">
        <v>2566</v>
      </c>
      <c r="B809" s="1" t="s">
        <v>2650</v>
      </c>
      <c r="C809" s="1" t="s">
        <v>2651</v>
      </c>
      <c r="D809" s="1" t="s">
        <v>20</v>
      </c>
      <c r="E809" s="1" t="s">
        <v>1139</v>
      </c>
      <c r="F809" s="1" t="s">
        <v>14</v>
      </c>
      <c r="G809" s="1" t="s">
        <v>15</v>
      </c>
      <c r="H809" s="1" t="s">
        <v>30</v>
      </c>
      <c r="I809" s="1">
        <v>0</v>
      </c>
      <c r="J809" s="12">
        <f t="shared" si="24"/>
        <v>45323</v>
      </c>
      <c r="K809" s="14">
        <f t="shared" si="25"/>
        <v>2</v>
      </c>
      <c r="L809" s="13"/>
      <c r="M809" s="13"/>
    </row>
    <row r="810" spans="1:13" x14ac:dyDescent="0.25">
      <c r="A810" s="1" t="s">
        <v>1473</v>
      </c>
      <c r="B810" s="1" t="s">
        <v>2652</v>
      </c>
      <c r="C810" s="1" t="s">
        <v>2653</v>
      </c>
      <c r="D810" s="1" t="s">
        <v>12</v>
      </c>
      <c r="E810" s="1" t="s">
        <v>605</v>
      </c>
      <c r="F810" s="1" t="s">
        <v>29</v>
      </c>
      <c r="G810" s="1" t="s">
        <v>23</v>
      </c>
      <c r="H810" s="1" t="s">
        <v>16</v>
      </c>
      <c r="I810" s="1">
        <v>0</v>
      </c>
      <c r="J810" s="12">
        <f t="shared" si="24"/>
        <v>45298</v>
      </c>
      <c r="K810" s="14">
        <f t="shared" si="25"/>
        <v>1</v>
      </c>
      <c r="L810" s="13"/>
      <c r="M810" s="13"/>
    </row>
    <row r="811" spans="1:13" x14ac:dyDescent="0.25">
      <c r="A811" s="1" t="s">
        <v>1640</v>
      </c>
      <c r="B811" s="1" t="s">
        <v>2654</v>
      </c>
      <c r="C811" s="1" t="s">
        <v>2655</v>
      </c>
      <c r="D811" s="1" t="s">
        <v>12</v>
      </c>
      <c r="E811" s="1" t="s">
        <v>1773</v>
      </c>
      <c r="F811" s="1" t="s">
        <v>22</v>
      </c>
      <c r="G811" s="1" t="s">
        <v>15</v>
      </c>
      <c r="H811" s="1" t="s">
        <v>24</v>
      </c>
      <c r="I811" s="1">
        <v>0</v>
      </c>
      <c r="J811" s="12">
        <f t="shared" si="24"/>
        <v>45304</v>
      </c>
      <c r="K811" s="14">
        <f t="shared" si="25"/>
        <v>1</v>
      </c>
      <c r="L811" s="13"/>
      <c r="M811" s="13"/>
    </row>
    <row r="812" spans="1:13" x14ac:dyDescent="0.25">
      <c r="A812" s="1" t="s">
        <v>2656</v>
      </c>
      <c r="B812" s="1" t="s">
        <v>2657</v>
      </c>
      <c r="C812" s="1" t="s">
        <v>2658</v>
      </c>
      <c r="D812" s="1" t="s">
        <v>12</v>
      </c>
      <c r="E812" s="1" t="s">
        <v>2659</v>
      </c>
      <c r="F812" s="1" t="s">
        <v>75</v>
      </c>
      <c r="G812" s="1" t="s">
        <v>23</v>
      </c>
      <c r="H812" s="1" t="s">
        <v>41</v>
      </c>
      <c r="I812" s="1">
        <v>0</v>
      </c>
      <c r="J812" s="12">
        <f t="shared" si="24"/>
        <v>45294</v>
      </c>
      <c r="K812" s="14">
        <f t="shared" si="25"/>
        <v>1</v>
      </c>
      <c r="L812" s="13"/>
      <c r="M812" s="13"/>
    </row>
    <row r="813" spans="1:13" x14ac:dyDescent="0.25">
      <c r="A813" s="1" t="s">
        <v>2660</v>
      </c>
      <c r="B813" s="1" t="s">
        <v>2661</v>
      </c>
      <c r="C813" s="1" t="s">
        <v>2662</v>
      </c>
      <c r="D813" s="1" t="s">
        <v>12</v>
      </c>
      <c r="E813" s="1" t="s">
        <v>2663</v>
      </c>
      <c r="F813" s="1" t="s">
        <v>29</v>
      </c>
      <c r="G813" s="1" t="s">
        <v>23</v>
      </c>
      <c r="H813" s="1" t="s">
        <v>30</v>
      </c>
      <c r="I813" s="1">
        <v>0</v>
      </c>
      <c r="J813" s="12">
        <f t="shared" si="24"/>
        <v>45325</v>
      </c>
      <c r="K813" s="14">
        <f t="shared" si="25"/>
        <v>2</v>
      </c>
      <c r="L813" s="13"/>
      <c r="M813" s="13"/>
    </row>
    <row r="814" spans="1:13" x14ac:dyDescent="0.25">
      <c r="A814" s="1" t="s">
        <v>546</v>
      </c>
      <c r="B814" s="1" t="s">
        <v>2664</v>
      </c>
      <c r="C814" s="1" t="s">
        <v>2665</v>
      </c>
      <c r="D814" s="1" t="s">
        <v>45</v>
      </c>
      <c r="E814" s="1" t="s">
        <v>862</v>
      </c>
      <c r="F814" s="1" t="s">
        <v>40</v>
      </c>
      <c r="G814" s="1" t="s">
        <v>15</v>
      </c>
      <c r="H814" s="1" t="s">
        <v>55</v>
      </c>
      <c r="I814" s="1">
        <v>3497</v>
      </c>
      <c r="J814" s="12">
        <f t="shared" si="24"/>
        <v>45303</v>
      </c>
      <c r="K814" s="14">
        <f t="shared" si="25"/>
        <v>1</v>
      </c>
      <c r="L814" s="13"/>
      <c r="M814" s="13"/>
    </row>
    <row r="815" spans="1:13" x14ac:dyDescent="0.25">
      <c r="A815" s="1" t="s">
        <v>1931</v>
      </c>
      <c r="B815" s="1" t="s">
        <v>2666</v>
      </c>
      <c r="C815" s="1" t="s">
        <v>2667</v>
      </c>
      <c r="D815" s="1" t="s">
        <v>45</v>
      </c>
      <c r="E815" s="1" t="s">
        <v>2668</v>
      </c>
      <c r="F815" s="1" t="s">
        <v>29</v>
      </c>
      <c r="G815" s="1" t="s">
        <v>35</v>
      </c>
      <c r="H815" s="1" t="s">
        <v>55</v>
      </c>
      <c r="I815" s="1">
        <v>3035</v>
      </c>
      <c r="J815" s="12">
        <f t="shared" si="24"/>
        <v>45310</v>
      </c>
      <c r="K815" s="14">
        <f t="shared" si="25"/>
        <v>1</v>
      </c>
      <c r="L815" s="13"/>
      <c r="M815" s="13"/>
    </row>
    <row r="816" spans="1:13" x14ac:dyDescent="0.25">
      <c r="A816" s="1" t="s">
        <v>2669</v>
      </c>
      <c r="B816" s="1" t="s">
        <v>2670</v>
      </c>
      <c r="C816" s="1" t="s">
        <v>2671</v>
      </c>
      <c r="D816" s="1" t="s">
        <v>45</v>
      </c>
      <c r="E816" s="1" t="s">
        <v>1051</v>
      </c>
      <c r="F816" s="1" t="s">
        <v>22</v>
      </c>
      <c r="G816" s="1" t="s">
        <v>35</v>
      </c>
      <c r="H816" s="1" t="s">
        <v>24</v>
      </c>
      <c r="I816" s="1">
        <v>388</v>
      </c>
      <c r="J816" s="12">
        <f t="shared" si="24"/>
        <v>45310</v>
      </c>
      <c r="K816" s="14">
        <f t="shared" si="25"/>
        <v>1</v>
      </c>
      <c r="L816" s="13"/>
      <c r="M816" s="13"/>
    </row>
    <row r="817" spans="1:13" x14ac:dyDescent="0.25">
      <c r="A817" s="1" t="s">
        <v>1504</v>
      </c>
      <c r="B817" s="1" t="s">
        <v>1811</v>
      </c>
      <c r="C817" s="1" t="s">
        <v>2672</v>
      </c>
      <c r="D817" s="1" t="s">
        <v>12</v>
      </c>
      <c r="E817" s="1" t="s">
        <v>918</v>
      </c>
      <c r="F817" s="1" t="s">
        <v>40</v>
      </c>
      <c r="G817" s="1" t="s">
        <v>23</v>
      </c>
      <c r="H817" s="1" t="s">
        <v>30</v>
      </c>
      <c r="I817" s="1">
        <v>0</v>
      </c>
      <c r="J817" s="12">
        <f t="shared" si="24"/>
        <v>45307</v>
      </c>
      <c r="K817" s="14">
        <f t="shared" si="25"/>
        <v>1</v>
      </c>
      <c r="L817" s="13"/>
      <c r="M817" s="13"/>
    </row>
    <row r="818" spans="1:13" x14ac:dyDescent="0.25">
      <c r="A818" s="1" t="s">
        <v>2673</v>
      </c>
      <c r="B818" s="1" t="s">
        <v>2674</v>
      </c>
      <c r="C818" s="1" t="s">
        <v>2675</v>
      </c>
      <c r="D818" s="1" t="s">
        <v>20</v>
      </c>
      <c r="E818" s="1" t="s">
        <v>2676</v>
      </c>
      <c r="F818" s="1" t="s">
        <v>40</v>
      </c>
      <c r="G818" s="1" t="s">
        <v>15</v>
      </c>
      <c r="H818" s="1" t="s">
        <v>30</v>
      </c>
      <c r="I818" s="1">
        <v>0</v>
      </c>
      <c r="J818" s="12">
        <f t="shared" si="24"/>
        <v>45323</v>
      </c>
      <c r="K818" s="14">
        <f t="shared" si="25"/>
        <v>2</v>
      </c>
      <c r="L818" s="13"/>
      <c r="M818" s="13"/>
    </row>
    <row r="819" spans="1:13" x14ac:dyDescent="0.25">
      <c r="A819" s="1" t="s">
        <v>2677</v>
      </c>
      <c r="B819" s="1" t="s">
        <v>2678</v>
      </c>
      <c r="C819" s="1" t="s">
        <v>2679</v>
      </c>
      <c r="D819" s="1" t="s">
        <v>20</v>
      </c>
      <c r="E819" s="1" t="s">
        <v>696</v>
      </c>
      <c r="F819" s="1" t="s">
        <v>75</v>
      </c>
      <c r="G819" s="1" t="s">
        <v>15</v>
      </c>
      <c r="H819" s="1" t="s">
        <v>24</v>
      </c>
      <c r="I819" s="1">
        <v>0</v>
      </c>
      <c r="J819" s="12">
        <f t="shared" si="24"/>
        <v>45323</v>
      </c>
      <c r="K819" s="14">
        <f t="shared" si="25"/>
        <v>2</v>
      </c>
      <c r="L819" s="13"/>
      <c r="M819" s="13"/>
    </row>
    <row r="820" spans="1:13" x14ac:dyDescent="0.25">
      <c r="A820" s="1" t="s">
        <v>2680</v>
      </c>
      <c r="B820" s="1" t="s">
        <v>2681</v>
      </c>
      <c r="C820" s="1" t="s">
        <v>2682</v>
      </c>
      <c r="D820" s="1" t="s">
        <v>12</v>
      </c>
      <c r="E820" s="1" t="s">
        <v>1784</v>
      </c>
      <c r="F820" s="1" t="s">
        <v>29</v>
      </c>
      <c r="G820" s="1" t="s">
        <v>35</v>
      </c>
      <c r="H820" s="1" t="s">
        <v>55</v>
      </c>
      <c r="I820" s="1">
        <v>0</v>
      </c>
      <c r="J820" s="12">
        <f t="shared" si="24"/>
        <v>45307</v>
      </c>
      <c r="K820" s="14">
        <f t="shared" si="25"/>
        <v>1</v>
      </c>
      <c r="L820" s="13"/>
      <c r="M820" s="13"/>
    </row>
    <row r="821" spans="1:13" x14ac:dyDescent="0.25">
      <c r="A821" s="1" t="s">
        <v>693</v>
      </c>
      <c r="B821" s="1" t="s">
        <v>2683</v>
      </c>
      <c r="C821" s="1" t="s">
        <v>2684</v>
      </c>
      <c r="D821" s="1" t="s">
        <v>12</v>
      </c>
      <c r="E821" s="1" t="s">
        <v>2058</v>
      </c>
      <c r="F821" s="1" t="s">
        <v>75</v>
      </c>
      <c r="G821" s="1" t="s">
        <v>23</v>
      </c>
      <c r="H821" s="1" t="s">
        <v>16</v>
      </c>
      <c r="I821" s="1">
        <v>0</v>
      </c>
      <c r="J821" s="12">
        <f t="shared" si="24"/>
        <v>45312</v>
      </c>
      <c r="K821" s="14">
        <f t="shared" si="25"/>
        <v>1</v>
      </c>
      <c r="L821" s="13"/>
      <c r="M821" s="13"/>
    </row>
    <row r="822" spans="1:13" x14ac:dyDescent="0.25">
      <c r="A822" s="1" t="s">
        <v>1372</v>
      </c>
      <c r="B822" s="1" t="s">
        <v>2685</v>
      </c>
      <c r="C822" s="1" t="s">
        <v>2686</v>
      </c>
      <c r="D822" s="1" t="s">
        <v>45</v>
      </c>
      <c r="E822" s="1" t="s">
        <v>2687</v>
      </c>
      <c r="F822" s="1" t="s">
        <v>14</v>
      </c>
      <c r="G822" s="1" t="s">
        <v>15</v>
      </c>
      <c r="H822" s="1" t="s">
        <v>55</v>
      </c>
      <c r="I822" s="1">
        <v>3540</v>
      </c>
      <c r="J822" s="12">
        <f t="shared" si="24"/>
        <v>45318</v>
      </c>
      <c r="K822" s="14">
        <f t="shared" si="25"/>
        <v>1</v>
      </c>
      <c r="L822" s="13"/>
      <c r="M822" s="13"/>
    </row>
    <row r="823" spans="1:13" x14ac:dyDescent="0.25">
      <c r="A823" s="1" t="s">
        <v>2688</v>
      </c>
      <c r="B823" s="1" t="s">
        <v>2689</v>
      </c>
      <c r="C823" s="1" t="s">
        <v>2690</v>
      </c>
      <c r="D823" s="1" t="s">
        <v>12</v>
      </c>
      <c r="E823" s="1" t="s">
        <v>381</v>
      </c>
      <c r="F823" s="1" t="s">
        <v>29</v>
      </c>
      <c r="G823" s="1" t="s">
        <v>35</v>
      </c>
      <c r="H823" s="1" t="s">
        <v>16</v>
      </c>
      <c r="I823" s="1">
        <v>0</v>
      </c>
      <c r="J823" s="12">
        <f t="shared" si="24"/>
        <v>45307</v>
      </c>
      <c r="K823" s="14">
        <f t="shared" si="25"/>
        <v>1</v>
      </c>
      <c r="L823" s="13"/>
      <c r="M823" s="13"/>
    </row>
    <row r="824" spans="1:13" x14ac:dyDescent="0.25">
      <c r="A824" s="1" t="s">
        <v>1068</v>
      </c>
      <c r="B824" s="1" t="s">
        <v>2691</v>
      </c>
      <c r="C824" s="1" t="s">
        <v>2692</v>
      </c>
      <c r="D824" s="1" t="s">
        <v>45</v>
      </c>
      <c r="E824" s="1" t="s">
        <v>2318</v>
      </c>
      <c r="F824" s="1" t="s">
        <v>14</v>
      </c>
      <c r="G824" s="1" t="s">
        <v>15</v>
      </c>
      <c r="H824" s="1" t="s">
        <v>55</v>
      </c>
      <c r="I824" s="1">
        <v>2345</v>
      </c>
      <c r="J824" s="12">
        <f t="shared" si="24"/>
        <v>45318</v>
      </c>
      <c r="K824" s="14">
        <f t="shared" si="25"/>
        <v>1</v>
      </c>
      <c r="L824" s="13"/>
      <c r="M824" s="13"/>
    </row>
    <row r="825" spans="1:13" x14ac:dyDescent="0.25">
      <c r="A825" s="1" t="s">
        <v>2693</v>
      </c>
      <c r="B825" s="1" t="s">
        <v>2694</v>
      </c>
      <c r="C825" s="1" t="s">
        <v>2695</v>
      </c>
      <c r="D825" s="1" t="s">
        <v>12</v>
      </c>
      <c r="E825" s="1" t="s">
        <v>270</v>
      </c>
      <c r="F825" s="1" t="s">
        <v>75</v>
      </c>
      <c r="G825" s="1" t="s">
        <v>35</v>
      </c>
      <c r="H825" s="1" t="s">
        <v>30</v>
      </c>
      <c r="I825" s="1">
        <v>0</v>
      </c>
      <c r="J825" s="12">
        <f t="shared" si="24"/>
        <v>45319</v>
      </c>
      <c r="K825" s="14">
        <f t="shared" si="25"/>
        <v>1</v>
      </c>
      <c r="L825" s="13"/>
      <c r="M825" s="13"/>
    </row>
    <row r="826" spans="1:13" x14ac:dyDescent="0.25">
      <c r="A826" s="1" t="s">
        <v>1448</v>
      </c>
      <c r="B826" s="1" t="s">
        <v>2696</v>
      </c>
      <c r="C826" s="1" t="s">
        <v>2697</v>
      </c>
      <c r="D826" s="1" t="s">
        <v>20</v>
      </c>
      <c r="E826" s="1" t="s">
        <v>1184</v>
      </c>
      <c r="F826" s="1" t="s">
        <v>75</v>
      </c>
      <c r="G826" s="1" t="s">
        <v>23</v>
      </c>
      <c r="H826" s="1" t="s">
        <v>55</v>
      </c>
      <c r="I826" s="1">
        <v>0</v>
      </c>
      <c r="J826" s="12">
        <f t="shared" si="24"/>
        <v>45296</v>
      </c>
      <c r="K826" s="14">
        <f t="shared" si="25"/>
        <v>1</v>
      </c>
      <c r="L826" s="13"/>
      <c r="M826" s="13"/>
    </row>
    <row r="827" spans="1:13" x14ac:dyDescent="0.25">
      <c r="A827" s="1" t="s">
        <v>315</v>
      </c>
      <c r="B827" s="1" t="s">
        <v>2698</v>
      </c>
      <c r="C827" s="1" t="s">
        <v>2699</v>
      </c>
      <c r="D827" s="1" t="s">
        <v>45</v>
      </c>
      <c r="E827" s="1" t="s">
        <v>170</v>
      </c>
      <c r="F827" s="1" t="s">
        <v>29</v>
      </c>
      <c r="G827" s="1" t="s">
        <v>23</v>
      </c>
      <c r="H827" s="1" t="s">
        <v>24</v>
      </c>
      <c r="I827" s="1">
        <v>4992</v>
      </c>
      <c r="J827" s="12">
        <f t="shared" si="24"/>
        <v>45303</v>
      </c>
      <c r="K827" s="14">
        <f t="shared" si="25"/>
        <v>1</v>
      </c>
      <c r="L827" s="13"/>
      <c r="M827" s="13"/>
    </row>
    <row r="828" spans="1:13" x14ac:dyDescent="0.25">
      <c r="A828" s="1" t="s">
        <v>2700</v>
      </c>
      <c r="B828" s="1" t="s">
        <v>2701</v>
      </c>
      <c r="C828" s="1" t="s">
        <v>2702</v>
      </c>
      <c r="D828" s="1" t="s">
        <v>45</v>
      </c>
      <c r="E828" s="1" t="s">
        <v>2703</v>
      </c>
      <c r="F828" s="1" t="s">
        <v>75</v>
      </c>
      <c r="G828" s="1" t="s">
        <v>23</v>
      </c>
      <c r="H828" s="1" t="s">
        <v>55</v>
      </c>
      <c r="I828" s="1">
        <v>1964</v>
      </c>
      <c r="J828" s="12">
        <f t="shared" si="24"/>
        <v>45318</v>
      </c>
      <c r="K828" s="14">
        <f t="shared" si="25"/>
        <v>1</v>
      </c>
      <c r="L828" s="13"/>
      <c r="M828" s="13"/>
    </row>
    <row r="829" spans="1:13" x14ac:dyDescent="0.25">
      <c r="A829" s="1" t="s">
        <v>404</v>
      </c>
      <c r="B829" s="1" t="s">
        <v>2704</v>
      </c>
      <c r="C829" s="1" t="s">
        <v>2705</v>
      </c>
      <c r="D829" s="1" t="s">
        <v>20</v>
      </c>
      <c r="E829" s="1" t="s">
        <v>396</v>
      </c>
      <c r="F829" s="1" t="s">
        <v>14</v>
      </c>
      <c r="G829" s="1" t="s">
        <v>35</v>
      </c>
      <c r="H829" s="1" t="s">
        <v>41</v>
      </c>
      <c r="I829" s="1">
        <v>0</v>
      </c>
      <c r="J829" s="12">
        <f t="shared" si="24"/>
        <v>45318</v>
      </c>
      <c r="K829" s="14">
        <f t="shared" si="25"/>
        <v>1</v>
      </c>
      <c r="L829" s="13"/>
      <c r="M829" s="13"/>
    </row>
    <row r="830" spans="1:13" x14ac:dyDescent="0.25">
      <c r="A830" s="1" t="s">
        <v>1445</v>
      </c>
      <c r="B830" s="1" t="s">
        <v>2706</v>
      </c>
      <c r="C830" s="1" t="s">
        <v>2707</v>
      </c>
      <c r="D830" s="1" t="s">
        <v>20</v>
      </c>
      <c r="E830" s="1" t="s">
        <v>39</v>
      </c>
      <c r="F830" s="1" t="s">
        <v>75</v>
      </c>
      <c r="G830" s="1" t="s">
        <v>15</v>
      </c>
      <c r="H830" s="1" t="s">
        <v>24</v>
      </c>
      <c r="I830" s="1">
        <v>0</v>
      </c>
      <c r="J830" s="12">
        <f t="shared" si="24"/>
        <v>45306</v>
      </c>
      <c r="K830" s="14">
        <f t="shared" si="25"/>
        <v>1</v>
      </c>
      <c r="L830" s="13"/>
      <c r="M830" s="13"/>
    </row>
    <row r="831" spans="1:13" x14ac:dyDescent="0.25">
      <c r="A831" s="1" t="s">
        <v>2708</v>
      </c>
      <c r="B831" s="1" t="s">
        <v>2709</v>
      </c>
      <c r="C831" s="1" t="s">
        <v>2710</v>
      </c>
      <c r="D831" s="1" t="s">
        <v>20</v>
      </c>
      <c r="E831" s="1" t="s">
        <v>162</v>
      </c>
      <c r="F831" s="1" t="s">
        <v>14</v>
      </c>
      <c r="G831" s="1" t="s">
        <v>35</v>
      </c>
      <c r="H831" s="1" t="s">
        <v>55</v>
      </c>
      <c r="I831" s="1">
        <v>0</v>
      </c>
      <c r="J831" s="12">
        <f t="shared" si="24"/>
        <v>45297</v>
      </c>
      <c r="K831" s="14">
        <f t="shared" si="25"/>
        <v>1</v>
      </c>
      <c r="L831" s="13"/>
      <c r="M831" s="13"/>
    </row>
    <row r="832" spans="1:13" x14ac:dyDescent="0.25">
      <c r="A832" s="1" t="s">
        <v>1874</v>
      </c>
      <c r="B832" s="1" t="s">
        <v>2711</v>
      </c>
      <c r="C832" s="1" t="s">
        <v>2712</v>
      </c>
      <c r="D832" s="1" t="s">
        <v>45</v>
      </c>
      <c r="E832" s="1" t="s">
        <v>2250</v>
      </c>
      <c r="F832" s="1" t="s">
        <v>14</v>
      </c>
      <c r="G832" s="1" t="s">
        <v>23</v>
      </c>
      <c r="H832" s="1" t="s">
        <v>30</v>
      </c>
      <c r="I832" s="1">
        <v>2686</v>
      </c>
      <c r="J832" s="12">
        <f t="shared" si="24"/>
        <v>45308</v>
      </c>
      <c r="K832" s="14">
        <f t="shared" si="25"/>
        <v>1</v>
      </c>
      <c r="L832" s="13"/>
      <c r="M832" s="13"/>
    </row>
    <row r="833" spans="1:13" x14ac:dyDescent="0.25">
      <c r="A833" s="1" t="s">
        <v>2713</v>
      </c>
      <c r="B833" s="1" t="s">
        <v>2714</v>
      </c>
      <c r="C833" s="1" t="s">
        <v>2715</v>
      </c>
      <c r="D833" s="1" t="s">
        <v>20</v>
      </c>
      <c r="E833" s="1" t="s">
        <v>419</v>
      </c>
      <c r="F833" s="1" t="s">
        <v>40</v>
      </c>
      <c r="G833" s="1" t="s">
        <v>23</v>
      </c>
      <c r="H833" s="1" t="s">
        <v>16</v>
      </c>
      <c r="I833" s="1">
        <v>0</v>
      </c>
      <c r="J833" s="12">
        <f t="shared" si="24"/>
        <v>45300</v>
      </c>
      <c r="K833" s="14">
        <f t="shared" si="25"/>
        <v>1</v>
      </c>
      <c r="L833" s="13"/>
      <c r="M833" s="13"/>
    </row>
    <row r="834" spans="1:13" x14ac:dyDescent="0.25">
      <c r="A834" s="1" t="s">
        <v>750</v>
      </c>
      <c r="B834" s="1" t="s">
        <v>2716</v>
      </c>
      <c r="C834" s="1" t="s">
        <v>2717</v>
      </c>
      <c r="D834" s="1" t="s">
        <v>20</v>
      </c>
      <c r="E834" s="1" t="s">
        <v>2718</v>
      </c>
      <c r="F834" s="1" t="s">
        <v>22</v>
      </c>
      <c r="G834" s="1" t="s">
        <v>35</v>
      </c>
      <c r="H834" s="1" t="s">
        <v>24</v>
      </c>
      <c r="I834" s="1">
        <v>0</v>
      </c>
      <c r="J834" s="12">
        <f t="shared" si="24"/>
        <v>45297</v>
      </c>
      <c r="K834" s="14">
        <f t="shared" si="25"/>
        <v>1</v>
      </c>
      <c r="L834" s="13"/>
      <c r="M834" s="13"/>
    </row>
    <row r="835" spans="1:13" x14ac:dyDescent="0.25">
      <c r="A835" s="1" t="s">
        <v>1141</v>
      </c>
      <c r="B835" s="1" t="s">
        <v>2719</v>
      </c>
      <c r="C835" s="1" t="s">
        <v>2720</v>
      </c>
      <c r="D835" s="1" t="s">
        <v>20</v>
      </c>
      <c r="E835" s="1" t="s">
        <v>2721</v>
      </c>
      <c r="F835" s="1" t="s">
        <v>29</v>
      </c>
      <c r="G835" s="1" t="s">
        <v>15</v>
      </c>
      <c r="H835" s="1" t="s">
        <v>16</v>
      </c>
      <c r="I835" s="1">
        <v>0</v>
      </c>
      <c r="J835" s="12">
        <f t="shared" si="24"/>
        <v>45301</v>
      </c>
      <c r="K835" s="14">
        <f t="shared" si="25"/>
        <v>1</v>
      </c>
      <c r="L835" s="13"/>
      <c r="M835" s="13"/>
    </row>
    <row r="836" spans="1:13" x14ac:dyDescent="0.25">
      <c r="A836" s="1" t="s">
        <v>2722</v>
      </c>
      <c r="B836" s="1" t="s">
        <v>2723</v>
      </c>
      <c r="C836" s="1" t="s">
        <v>2724</v>
      </c>
      <c r="D836" s="1" t="s">
        <v>45</v>
      </c>
      <c r="E836" s="1" t="s">
        <v>2725</v>
      </c>
      <c r="F836" s="1" t="s">
        <v>29</v>
      </c>
      <c r="G836" s="1" t="s">
        <v>23</v>
      </c>
      <c r="H836" s="1" t="s">
        <v>24</v>
      </c>
      <c r="I836" s="1">
        <v>1355</v>
      </c>
      <c r="J836" s="12">
        <f t="shared" ref="J836:J899" si="26">INT(C836)</f>
        <v>45302</v>
      </c>
      <c r="K836" s="14">
        <f t="shared" ref="K836:K899" si="27">MONTH(C836)</f>
        <v>1</v>
      </c>
      <c r="L836" s="13"/>
      <c r="M836" s="13"/>
    </row>
    <row r="837" spans="1:13" x14ac:dyDescent="0.25">
      <c r="A837" s="1" t="s">
        <v>2726</v>
      </c>
      <c r="B837" s="1" t="s">
        <v>2727</v>
      </c>
      <c r="C837" s="1" t="s">
        <v>2728</v>
      </c>
      <c r="D837" s="1" t="s">
        <v>20</v>
      </c>
      <c r="E837" s="1" t="s">
        <v>2729</v>
      </c>
      <c r="F837" s="1" t="s">
        <v>14</v>
      </c>
      <c r="G837" s="1" t="s">
        <v>15</v>
      </c>
      <c r="H837" s="1" t="s">
        <v>24</v>
      </c>
      <c r="I837" s="1">
        <v>0</v>
      </c>
      <c r="J837" s="12">
        <f t="shared" si="26"/>
        <v>45323</v>
      </c>
      <c r="K837" s="14">
        <f t="shared" si="27"/>
        <v>2</v>
      </c>
      <c r="L837" s="13"/>
      <c r="M837" s="13"/>
    </row>
    <row r="838" spans="1:13" x14ac:dyDescent="0.25">
      <c r="A838" s="1" t="s">
        <v>1464</v>
      </c>
      <c r="B838" s="1" t="s">
        <v>2730</v>
      </c>
      <c r="C838" s="1" t="s">
        <v>2731</v>
      </c>
      <c r="D838" s="1" t="s">
        <v>45</v>
      </c>
      <c r="E838" s="1" t="s">
        <v>729</v>
      </c>
      <c r="F838" s="1" t="s">
        <v>22</v>
      </c>
      <c r="G838" s="1" t="s">
        <v>23</v>
      </c>
      <c r="H838" s="1" t="s">
        <v>24</v>
      </c>
      <c r="I838" s="1">
        <v>211</v>
      </c>
      <c r="J838" s="12">
        <f t="shared" si="26"/>
        <v>45307</v>
      </c>
      <c r="K838" s="14">
        <f t="shared" si="27"/>
        <v>1</v>
      </c>
      <c r="L838" s="13"/>
      <c r="M838" s="13"/>
    </row>
    <row r="839" spans="1:13" x14ac:dyDescent="0.25">
      <c r="A839" s="1" t="s">
        <v>386</v>
      </c>
      <c r="B839" s="1" t="s">
        <v>2732</v>
      </c>
      <c r="C839" s="1" t="s">
        <v>2733</v>
      </c>
      <c r="D839" s="1" t="s">
        <v>45</v>
      </c>
      <c r="E839" s="1" t="s">
        <v>2734</v>
      </c>
      <c r="F839" s="1" t="s">
        <v>14</v>
      </c>
      <c r="G839" s="1" t="s">
        <v>15</v>
      </c>
      <c r="H839" s="1" t="s">
        <v>55</v>
      </c>
      <c r="I839" s="1">
        <v>3144</v>
      </c>
      <c r="J839" s="12">
        <f t="shared" si="26"/>
        <v>45300</v>
      </c>
      <c r="K839" s="14">
        <f t="shared" si="27"/>
        <v>1</v>
      </c>
      <c r="L839" s="13"/>
      <c r="M839" s="13"/>
    </row>
    <row r="840" spans="1:13" x14ac:dyDescent="0.25">
      <c r="A840" s="1" t="s">
        <v>2735</v>
      </c>
      <c r="B840" s="1" t="s">
        <v>2736</v>
      </c>
      <c r="C840" s="1" t="s">
        <v>2737</v>
      </c>
      <c r="D840" s="1" t="s">
        <v>12</v>
      </c>
      <c r="E840" s="1" t="s">
        <v>2738</v>
      </c>
      <c r="F840" s="1" t="s">
        <v>22</v>
      </c>
      <c r="G840" s="1" t="s">
        <v>15</v>
      </c>
      <c r="H840" s="1" t="s">
        <v>30</v>
      </c>
      <c r="I840" s="1">
        <v>0</v>
      </c>
      <c r="J840" s="12">
        <f t="shared" si="26"/>
        <v>45315</v>
      </c>
      <c r="K840" s="14">
        <f t="shared" si="27"/>
        <v>1</v>
      </c>
      <c r="L840" s="13"/>
      <c r="M840" s="13"/>
    </row>
    <row r="841" spans="1:13" x14ac:dyDescent="0.25">
      <c r="A841" s="1" t="s">
        <v>2739</v>
      </c>
      <c r="B841" s="1" t="s">
        <v>2740</v>
      </c>
      <c r="C841" s="1" t="s">
        <v>2741</v>
      </c>
      <c r="D841" s="1" t="s">
        <v>20</v>
      </c>
      <c r="E841" s="1" t="s">
        <v>1784</v>
      </c>
      <c r="F841" s="1" t="s">
        <v>29</v>
      </c>
      <c r="G841" s="1" t="s">
        <v>35</v>
      </c>
      <c r="H841" s="1" t="s">
        <v>55</v>
      </c>
      <c r="I841" s="1">
        <v>0</v>
      </c>
      <c r="J841" s="12">
        <f t="shared" si="26"/>
        <v>45307</v>
      </c>
      <c r="K841" s="14">
        <f t="shared" si="27"/>
        <v>1</v>
      </c>
      <c r="L841" s="13"/>
      <c r="M841" s="13"/>
    </row>
    <row r="842" spans="1:13" x14ac:dyDescent="0.25">
      <c r="A842" s="1" t="s">
        <v>2742</v>
      </c>
      <c r="B842" s="1" t="s">
        <v>2743</v>
      </c>
      <c r="C842" s="1" t="s">
        <v>2744</v>
      </c>
      <c r="D842" s="1" t="s">
        <v>12</v>
      </c>
      <c r="E842" s="1" t="s">
        <v>1252</v>
      </c>
      <c r="F842" s="1" t="s">
        <v>75</v>
      </c>
      <c r="G842" s="1" t="s">
        <v>35</v>
      </c>
      <c r="H842" s="1" t="s">
        <v>24</v>
      </c>
      <c r="I842" s="1">
        <v>0</v>
      </c>
      <c r="J842" s="12">
        <f t="shared" si="26"/>
        <v>45325</v>
      </c>
      <c r="K842" s="14">
        <f t="shared" si="27"/>
        <v>2</v>
      </c>
      <c r="L842" s="13"/>
      <c r="M842" s="13"/>
    </row>
    <row r="843" spans="1:13" x14ac:dyDescent="0.25">
      <c r="A843" s="1" t="s">
        <v>2745</v>
      </c>
      <c r="B843" s="1" t="s">
        <v>2746</v>
      </c>
      <c r="C843" s="1" t="s">
        <v>2747</v>
      </c>
      <c r="D843" s="1" t="s">
        <v>12</v>
      </c>
      <c r="E843" s="1" t="s">
        <v>2748</v>
      </c>
      <c r="F843" s="1" t="s">
        <v>75</v>
      </c>
      <c r="G843" s="1" t="s">
        <v>15</v>
      </c>
      <c r="H843" s="1" t="s">
        <v>24</v>
      </c>
      <c r="I843" s="1">
        <v>0</v>
      </c>
      <c r="J843" s="12">
        <f t="shared" si="26"/>
        <v>45318</v>
      </c>
      <c r="K843" s="14">
        <f t="shared" si="27"/>
        <v>1</v>
      </c>
      <c r="L843" s="13"/>
      <c r="M843" s="13"/>
    </row>
    <row r="844" spans="1:13" x14ac:dyDescent="0.25">
      <c r="A844" s="1" t="s">
        <v>2749</v>
      </c>
      <c r="B844" s="1" t="s">
        <v>767</v>
      </c>
      <c r="C844" s="1" t="s">
        <v>2750</v>
      </c>
      <c r="D844" s="1" t="s">
        <v>12</v>
      </c>
      <c r="E844" s="1" t="s">
        <v>2751</v>
      </c>
      <c r="F844" s="1" t="s">
        <v>14</v>
      </c>
      <c r="G844" s="1" t="s">
        <v>15</v>
      </c>
      <c r="H844" s="1" t="s">
        <v>41</v>
      </c>
      <c r="I844" s="1">
        <v>0</v>
      </c>
      <c r="J844" s="12">
        <f t="shared" si="26"/>
        <v>45308</v>
      </c>
      <c r="K844" s="14">
        <f t="shared" si="27"/>
        <v>1</v>
      </c>
      <c r="L844" s="13"/>
      <c r="M844" s="13"/>
    </row>
    <row r="845" spans="1:13" x14ac:dyDescent="0.25">
      <c r="A845" s="1" t="s">
        <v>1116</v>
      </c>
      <c r="B845" s="1" t="s">
        <v>1509</v>
      </c>
      <c r="C845" s="1" t="s">
        <v>2752</v>
      </c>
      <c r="D845" s="1" t="s">
        <v>12</v>
      </c>
      <c r="E845" s="1" t="s">
        <v>789</v>
      </c>
      <c r="F845" s="1" t="s">
        <v>14</v>
      </c>
      <c r="G845" s="1" t="s">
        <v>23</v>
      </c>
      <c r="H845" s="1" t="s">
        <v>41</v>
      </c>
      <c r="I845" s="1">
        <v>0</v>
      </c>
      <c r="J845" s="12">
        <f t="shared" si="26"/>
        <v>45324</v>
      </c>
      <c r="K845" s="14">
        <f t="shared" si="27"/>
        <v>2</v>
      </c>
      <c r="L845" s="13"/>
      <c r="M845" s="13"/>
    </row>
    <row r="846" spans="1:13" x14ac:dyDescent="0.25">
      <c r="A846" s="1" t="s">
        <v>214</v>
      </c>
      <c r="B846" s="1" t="s">
        <v>2753</v>
      </c>
      <c r="C846" s="1" t="s">
        <v>2754</v>
      </c>
      <c r="D846" s="1" t="s">
        <v>20</v>
      </c>
      <c r="E846" s="1" t="s">
        <v>953</v>
      </c>
      <c r="F846" s="1" t="s">
        <v>75</v>
      </c>
      <c r="G846" s="1" t="s">
        <v>15</v>
      </c>
      <c r="H846" s="1" t="s">
        <v>30</v>
      </c>
      <c r="I846" s="1">
        <v>0</v>
      </c>
      <c r="J846" s="12">
        <f t="shared" si="26"/>
        <v>45304</v>
      </c>
      <c r="K846" s="14">
        <f t="shared" si="27"/>
        <v>1</v>
      </c>
      <c r="L846" s="13"/>
      <c r="M846" s="13"/>
    </row>
    <row r="847" spans="1:13" x14ac:dyDescent="0.25">
      <c r="A847" s="1" t="s">
        <v>2319</v>
      </c>
      <c r="B847" s="1" t="s">
        <v>2755</v>
      </c>
      <c r="C847" s="1" t="s">
        <v>2756</v>
      </c>
      <c r="D847" s="1" t="s">
        <v>20</v>
      </c>
      <c r="E847" s="1" t="s">
        <v>280</v>
      </c>
      <c r="F847" s="1" t="s">
        <v>29</v>
      </c>
      <c r="G847" s="1" t="s">
        <v>15</v>
      </c>
      <c r="H847" s="1" t="s">
        <v>41</v>
      </c>
      <c r="I847" s="1">
        <v>0</v>
      </c>
      <c r="J847" s="12">
        <f t="shared" si="26"/>
        <v>45298</v>
      </c>
      <c r="K847" s="14">
        <f t="shared" si="27"/>
        <v>1</v>
      </c>
      <c r="L847" s="13"/>
      <c r="M847" s="13"/>
    </row>
    <row r="848" spans="1:13" x14ac:dyDescent="0.25">
      <c r="A848" s="1" t="s">
        <v>2757</v>
      </c>
      <c r="B848" s="1" t="s">
        <v>2758</v>
      </c>
      <c r="C848" s="1" t="s">
        <v>2759</v>
      </c>
      <c r="D848" s="1" t="s">
        <v>45</v>
      </c>
      <c r="E848" s="1" t="s">
        <v>1639</v>
      </c>
      <c r="F848" s="1" t="s">
        <v>14</v>
      </c>
      <c r="G848" s="1" t="s">
        <v>15</v>
      </c>
      <c r="H848" s="1" t="s">
        <v>16</v>
      </c>
      <c r="I848" s="1">
        <v>2653</v>
      </c>
      <c r="J848" s="12">
        <f t="shared" si="26"/>
        <v>45321</v>
      </c>
      <c r="K848" s="14">
        <f t="shared" si="27"/>
        <v>1</v>
      </c>
      <c r="L848" s="13"/>
      <c r="M848" s="13"/>
    </row>
    <row r="849" spans="1:13" x14ac:dyDescent="0.25">
      <c r="A849" s="1" t="s">
        <v>557</v>
      </c>
      <c r="B849" s="1" t="s">
        <v>2760</v>
      </c>
      <c r="C849" s="1" t="s">
        <v>2761</v>
      </c>
      <c r="D849" s="1" t="s">
        <v>20</v>
      </c>
      <c r="E849" s="1" t="s">
        <v>369</v>
      </c>
      <c r="F849" s="1" t="s">
        <v>75</v>
      </c>
      <c r="G849" s="1" t="s">
        <v>23</v>
      </c>
      <c r="H849" s="1" t="s">
        <v>16</v>
      </c>
      <c r="I849" s="1">
        <v>0</v>
      </c>
      <c r="J849" s="12">
        <f t="shared" si="26"/>
        <v>45316</v>
      </c>
      <c r="K849" s="14">
        <f t="shared" si="27"/>
        <v>1</v>
      </c>
      <c r="L849" s="13"/>
      <c r="M849" s="13"/>
    </row>
    <row r="850" spans="1:13" x14ac:dyDescent="0.25">
      <c r="A850" s="1" t="s">
        <v>2110</v>
      </c>
      <c r="B850" s="1" t="s">
        <v>2762</v>
      </c>
      <c r="C850" s="1" t="s">
        <v>2763</v>
      </c>
      <c r="D850" s="1" t="s">
        <v>12</v>
      </c>
      <c r="E850" s="1" t="s">
        <v>1139</v>
      </c>
      <c r="F850" s="1" t="s">
        <v>22</v>
      </c>
      <c r="G850" s="1" t="s">
        <v>15</v>
      </c>
      <c r="H850" s="1" t="s">
        <v>41</v>
      </c>
      <c r="I850" s="1">
        <v>0</v>
      </c>
      <c r="J850" s="12">
        <f t="shared" si="26"/>
        <v>45299</v>
      </c>
      <c r="K850" s="14">
        <f t="shared" si="27"/>
        <v>1</v>
      </c>
      <c r="L850" s="13"/>
      <c r="M850" s="13"/>
    </row>
    <row r="851" spans="1:13" x14ac:dyDescent="0.25">
      <c r="A851" s="1" t="s">
        <v>2399</v>
      </c>
      <c r="B851" s="1" t="s">
        <v>2764</v>
      </c>
      <c r="C851" s="1" t="s">
        <v>2765</v>
      </c>
      <c r="D851" s="1" t="s">
        <v>12</v>
      </c>
      <c r="E851" s="1" t="s">
        <v>2766</v>
      </c>
      <c r="F851" s="1" t="s">
        <v>40</v>
      </c>
      <c r="G851" s="1" t="s">
        <v>35</v>
      </c>
      <c r="H851" s="1" t="s">
        <v>24</v>
      </c>
      <c r="I851" s="1">
        <v>0</v>
      </c>
      <c r="J851" s="12">
        <f t="shared" si="26"/>
        <v>45324</v>
      </c>
      <c r="K851" s="14">
        <f t="shared" si="27"/>
        <v>2</v>
      </c>
      <c r="L851" s="13"/>
      <c r="M851" s="13"/>
    </row>
    <row r="852" spans="1:13" x14ac:dyDescent="0.25">
      <c r="A852" s="1" t="s">
        <v>1259</v>
      </c>
      <c r="B852" s="1" t="s">
        <v>2767</v>
      </c>
      <c r="C852" s="1" t="s">
        <v>2768</v>
      </c>
      <c r="D852" s="1" t="s">
        <v>12</v>
      </c>
      <c r="E852" s="1" t="s">
        <v>2769</v>
      </c>
      <c r="F852" s="1" t="s">
        <v>29</v>
      </c>
      <c r="G852" s="1" t="s">
        <v>35</v>
      </c>
      <c r="H852" s="1" t="s">
        <v>16</v>
      </c>
      <c r="I852" s="1">
        <v>0</v>
      </c>
      <c r="J852" s="12">
        <f t="shared" si="26"/>
        <v>45309</v>
      </c>
      <c r="K852" s="14">
        <f t="shared" si="27"/>
        <v>1</v>
      </c>
      <c r="L852" s="13"/>
      <c r="M852" s="13"/>
    </row>
    <row r="853" spans="1:13" x14ac:dyDescent="0.25">
      <c r="A853" s="1" t="s">
        <v>323</v>
      </c>
      <c r="B853" s="1" t="s">
        <v>2770</v>
      </c>
      <c r="C853" s="1" t="s">
        <v>2771</v>
      </c>
      <c r="D853" s="1" t="s">
        <v>45</v>
      </c>
      <c r="E853" s="1" t="s">
        <v>411</v>
      </c>
      <c r="F853" s="1" t="s">
        <v>75</v>
      </c>
      <c r="G853" s="1" t="s">
        <v>15</v>
      </c>
      <c r="H853" s="1" t="s">
        <v>16</v>
      </c>
      <c r="I853" s="1">
        <v>1084</v>
      </c>
      <c r="J853" s="12">
        <f t="shared" si="26"/>
        <v>45314</v>
      </c>
      <c r="K853" s="14">
        <f t="shared" si="27"/>
        <v>1</v>
      </c>
      <c r="L853" s="13"/>
      <c r="M853" s="13"/>
    </row>
    <row r="854" spans="1:13" x14ac:dyDescent="0.25">
      <c r="A854" s="1" t="s">
        <v>1816</v>
      </c>
      <c r="B854" s="1" t="s">
        <v>2772</v>
      </c>
      <c r="C854" s="1" t="s">
        <v>2773</v>
      </c>
      <c r="D854" s="1" t="s">
        <v>20</v>
      </c>
      <c r="E854" s="1" t="s">
        <v>1331</v>
      </c>
      <c r="F854" s="1" t="s">
        <v>14</v>
      </c>
      <c r="G854" s="1" t="s">
        <v>23</v>
      </c>
      <c r="H854" s="1" t="s">
        <v>16</v>
      </c>
      <c r="I854" s="1">
        <v>0</v>
      </c>
      <c r="J854" s="12">
        <f t="shared" si="26"/>
        <v>45324</v>
      </c>
      <c r="K854" s="14">
        <f t="shared" si="27"/>
        <v>2</v>
      </c>
      <c r="L854" s="13"/>
      <c r="M854" s="13"/>
    </row>
    <row r="855" spans="1:13" x14ac:dyDescent="0.25">
      <c r="A855" s="1" t="s">
        <v>2774</v>
      </c>
      <c r="B855" s="1" t="s">
        <v>2775</v>
      </c>
      <c r="C855" s="1" t="s">
        <v>2776</v>
      </c>
      <c r="D855" s="1" t="s">
        <v>45</v>
      </c>
      <c r="E855" s="1" t="s">
        <v>1380</v>
      </c>
      <c r="F855" s="1" t="s">
        <v>22</v>
      </c>
      <c r="G855" s="1" t="s">
        <v>35</v>
      </c>
      <c r="H855" s="1" t="s">
        <v>16</v>
      </c>
      <c r="I855" s="1">
        <v>317</v>
      </c>
      <c r="J855" s="12">
        <f t="shared" si="26"/>
        <v>45319</v>
      </c>
      <c r="K855" s="14">
        <f t="shared" si="27"/>
        <v>1</v>
      </c>
      <c r="L855" s="13"/>
      <c r="M855" s="13"/>
    </row>
    <row r="856" spans="1:13" x14ac:dyDescent="0.25">
      <c r="A856" s="1" t="s">
        <v>2006</v>
      </c>
      <c r="B856" s="1" t="s">
        <v>2777</v>
      </c>
      <c r="C856" s="1" t="s">
        <v>2778</v>
      </c>
      <c r="D856" s="1" t="s">
        <v>12</v>
      </c>
      <c r="E856" s="1" t="s">
        <v>778</v>
      </c>
      <c r="F856" s="1" t="s">
        <v>14</v>
      </c>
      <c r="G856" s="1" t="s">
        <v>23</v>
      </c>
      <c r="H856" s="1" t="s">
        <v>41</v>
      </c>
      <c r="I856" s="1">
        <v>0</v>
      </c>
      <c r="J856" s="12">
        <f t="shared" si="26"/>
        <v>45315</v>
      </c>
      <c r="K856" s="14">
        <f t="shared" si="27"/>
        <v>1</v>
      </c>
      <c r="L856" s="13"/>
      <c r="M856" s="13"/>
    </row>
    <row r="857" spans="1:13" x14ac:dyDescent="0.25">
      <c r="A857" s="1" t="s">
        <v>42</v>
      </c>
      <c r="B857" s="1" t="s">
        <v>2779</v>
      </c>
      <c r="C857" s="1" t="s">
        <v>2780</v>
      </c>
      <c r="D857" s="1" t="s">
        <v>45</v>
      </c>
      <c r="E857" s="1" t="s">
        <v>2781</v>
      </c>
      <c r="F857" s="1" t="s">
        <v>40</v>
      </c>
      <c r="G857" s="1" t="s">
        <v>15</v>
      </c>
      <c r="H857" s="1" t="s">
        <v>30</v>
      </c>
      <c r="I857" s="1">
        <v>3913</v>
      </c>
      <c r="J857" s="12">
        <f t="shared" si="26"/>
        <v>45315</v>
      </c>
      <c r="K857" s="14">
        <f t="shared" si="27"/>
        <v>1</v>
      </c>
      <c r="L857" s="13"/>
      <c r="M857" s="13"/>
    </row>
    <row r="858" spans="1:13" x14ac:dyDescent="0.25">
      <c r="A858" s="1" t="s">
        <v>2660</v>
      </c>
      <c r="B858" s="1" t="s">
        <v>2782</v>
      </c>
      <c r="C858" s="1" t="s">
        <v>2783</v>
      </c>
      <c r="D858" s="1" t="s">
        <v>12</v>
      </c>
      <c r="E858" s="1" t="s">
        <v>2784</v>
      </c>
      <c r="F858" s="1" t="s">
        <v>29</v>
      </c>
      <c r="G858" s="1" t="s">
        <v>23</v>
      </c>
      <c r="H858" s="1" t="s">
        <v>55</v>
      </c>
      <c r="I858" s="1">
        <v>0</v>
      </c>
      <c r="J858" s="12">
        <f t="shared" si="26"/>
        <v>45325</v>
      </c>
      <c r="K858" s="14">
        <f t="shared" si="27"/>
        <v>2</v>
      </c>
      <c r="L858" s="13"/>
      <c r="M858" s="13"/>
    </row>
    <row r="859" spans="1:13" x14ac:dyDescent="0.25">
      <c r="A859" s="1" t="s">
        <v>2785</v>
      </c>
      <c r="B859" s="1" t="s">
        <v>2564</v>
      </c>
      <c r="C859" s="1" t="s">
        <v>2786</v>
      </c>
      <c r="D859" s="1" t="s">
        <v>45</v>
      </c>
      <c r="E859" s="1" t="s">
        <v>937</v>
      </c>
      <c r="F859" s="1" t="s">
        <v>22</v>
      </c>
      <c r="G859" s="1" t="s">
        <v>15</v>
      </c>
      <c r="H859" s="1" t="s">
        <v>41</v>
      </c>
      <c r="I859" s="1">
        <v>4287</v>
      </c>
      <c r="J859" s="12">
        <f t="shared" si="26"/>
        <v>45317</v>
      </c>
      <c r="K859" s="14">
        <f t="shared" si="27"/>
        <v>1</v>
      </c>
      <c r="L859" s="13"/>
      <c r="M859" s="13"/>
    </row>
    <row r="860" spans="1:13" x14ac:dyDescent="0.25">
      <c r="A860" s="1" t="s">
        <v>594</v>
      </c>
      <c r="B860" s="1" t="s">
        <v>2787</v>
      </c>
      <c r="C860" s="1" t="s">
        <v>2788</v>
      </c>
      <c r="D860" s="1" t="s">
        <v>20</v>
      </c>
      <c r="E860" s="1" t="s">
        <v>221</v>
      </c>
      <c r="F860" s="1" t="s">
        <v>14</v>
      </c>
      <c r="G860" s="1" t="s">
        <v>15</v>
      </c>
      <c r="H860" s="1" t="s">
        <v>55</v>
      </c>
      <c r="I860" s="1">
        <v>0</v>
      </c>
      <c r="J860" s="12">
        <f t="shared" si="26"/>
        <v>45297</v>
      </c>
      <c r="K860" s="14">
        <f t="shared" si="27"/>
        <v>1</v>
      </c>
      <c r="L860" s="13"/>
      <c r="M860" s="13"/>
    </row>
    <row r="861" spans="1:13" x14ac:dyDescent="0.25">
      <c r="A861" s="1" t="s">
        <v>638</v>
      </c>
      <c r="B861" s="1" t="s">
        <v>2789</v>
      </c>
      <c r="C861" s="1" t="s">
        <v>2790</v>
      </c>
      <c r="D861" s="1" t="s">
        <v>20</v>
      </c>
      <c r="E861" s="1" t="s">
        <v>2012</v>
      </c>
      <c r="F861" s="1" t="s">
        <v>75</v>
      </c>
      <c r="G861" s="1" t="s">
        <v>35</v>
      </c>
      <c r="H861" s="1" t="s">
        <v>55</v>
      </c>
      <c r="I861" s="1">
        <v>0</v>
      </c>
      <c r="J861" s="12">
        <f t="shared" si="26"/>
        <v>45296</v>
      </c>
      <c r="K861" s="14">
        <f t="shared" si="27"/>
        <v>1</v>
      </c>
      <c r="L861" s="13"/>
      <c r="M861" s="13"/>
    </row>
    <row r="862" spans="1:13" x14ac:dyDescent="0.25">
      <c r="A862" s="1" t="s">
        <v>1492</v>
      </c>
      <c r="B862" s="1" t="s">
        <v>2791</v>
      </c>
      <c r="C862" s="1" t="s">
        <v>2792</v>
      </c>
      <c r="D862" s="1" t="s">
        <v>45</v>
      </c>
      <c r="E862" s="1" t="s">
        <v>534</v>
      </c>
      <c r="F862" s="1" t="s">
        <v>22</v>
      </c>
      <c r="G862" s="1" t="s">
        <v>15</v>
      </c>
      <c r="H862" s="1" t="s">
        <v>24</v>
      </c>
      <c r="I862" s="1">
        <v>1629</v>
      </c>
      <c r="J862" s="12">
        <f t="shared" si="26"/>
        <v>45322</v>
      </c>
      <c r="K862" s="14">
        <f t="shared" si="27"/>
        <v>1</v>
      </c>
      <c r="L862" s="13"/>
      <c r="M862" s="13"/>
    </row>
    <row r="863" spans="1:13" x14ac:dyDescent="0.25">
      <c r="A863" s="1" t="s">
        <v>878</v>
      </c>
      <c r="B863" s="1" t="s">
        <v>2793</v>
      </c>
      <c r="C863" s="1" t="s">
        <v>2794</v>
      </c>
      <c r="D863" s="1" t="s">
        <v>45</v>
      </c>
      <c r="E863" s="1" t="s">
        <v>1331</v>
      </c>
      <c r="F863" s="1" t="s">
        <v>29</v>
      </c>
      <c r="G863" s="1" t="s">
        <v>35</v>
      </c>
      <c r="H863" s="1" t="s">
        <v>30</v>
      </c>
      <c r="I863" s="1">
        <v>1876</v>
      </c>
      <c r="J863" s="12">
        <f t="shared" si="26"/>
        <v>45293</v>
      </c>
      <c r="K863" s="14">
        <f t="shared" si="27"/>
        <v>1</v>
      </c>
      <c r="L863" s="13"/>
      <c r="M863" s="13"/>
    </row>
    <row r="864" spans="1:13" x14ac:dyDescent="0.25">
      <c r="A864" s="1" t="s">
        <v>2795</v>
      </c>
      <c r="B864" s="1" t="s">
        <v>2796</v>
      </c>
      <c r="C864" s="1" t="s">
        <v>2797</v>
      </c>
      <c r="D864" s="1" t="s">
        <v>20</v>
      </c>
      <c r="E864" s="1" t="s">
        <v>2798</v>
      </c>
      <c r="F864" s="1" t="s">
        <v>14</v>
      </c>
      <c r="G864" s="1" t="s">
        <v>35</v>
      </c>
      <c r="H864" s="1" t="s">
        <v>41</v>
      </c>
      <c r="I864" s="1">
        <v>0</v>
      </c>
      <c r="J864" s="12">
        <f t="shared" si="26"/>
        <v>45315</v>
      </c>
      <c r="K864" s="14">
        <f t="shared" si="27"/>
        <v>1</v>
      </c>
      <c r="L864" s="13"/>
      <c r="M864" s="13"/>
    </row>
    <row r="865" spans="1:13" x14ac:dyDescent="0.25">
      <c r="A865" s="1" t="s">
        <v>1074</v>
      </c>
      <c r="B865" s="1" t="s">
        <v>2799</v>
      </c>
      <c r="C865" s="1" t="s">
        <v>2800</v>
      </c>
      <c r="D865" s="1" t="s">
        <v>12</v>
      </c>
      <c r="E865" s="1" t="s">
        <v>2407</v>
      </c>
      <c r="F865" s="1" t="s">
        <v>22</v>
      </c>
      <c r="G865" s="1" t="s">
        <v>23</v>
      </c>
      <c r="H865" s="1" t="s">
        <v>16</v>
      </c>
      <c r="I865" s="1">
        <v>0</v>
      </c>
      <c r="J865" s="12">
        <f t="shared" si="26"/>
        <v>45323</v>
      </c>
      <c r="K865" s="14">
        <f t="shared" si="27"/>
        <v>2</v>
      </c>
      <c r="L865" s="13"/>
      <c r="M865" s="13"/>
    </row>
    <row r="866" spans="1:13" x14ac:dyDescent="0.25">
      <c r="A866" s="1" t="s">
        <v>911</v>
      </c>
      <c r="B866" s="1" t="s">
        <v>2801</v>
      </c>
      <c r="C866" s="1" t="s">
        <v>2802</v>
      </c>
      <c r="D866" s="1" t="s">
        <v>12</v>
      </c>
      <c r="E866" s="1" t="s">
        <v>1959</v>
      </c>
      <c r="F866" s="1" t="s">
        <v>40</v>
      </c>
      <c r="G866" s="1" t="s">
        <v>23</v>
      </c>
      <c r="H866" s="1" t="s">
        <v>55</v>
      </c>
      <c r="I866" s="1">
        <v>0</v>
      </c>
      <c r="J866" s="12">
        <f t="shared" si="26"/>
        <v>45297</v>
      </c>
      <c r="K866" s="14">
        <f t="shared" si="27"/>
        <v>1</v>
      </c>
      <c r="L866" s="13"/>
      <c r="M866" s="13"/>
    </row>
    <row r="867" spans="1:13" x14ac:dyDescent="0.25">
      <c r="A867" s="1" t="s">
        <v>495</v>
      </c>
      <c r="B867" s="1" t="s">
        <v>2803</v>
      </c>
      <c r="C867" s="1" t="s">
        <v>2804</v>
      </c>
      <c r="D867" s="1" t="s">
        <v>12</v>
      </c>
      <c r="E867" s="1" t="s">
        <v>1345</v>
      </c>
      <c r="F867" s="1" t="s">
        <v>40</v>
      </c>
      <c r="G867" s="1" t="s">
        <v>23</v>
      </c>
      <c r="H867" s="1" t="s">
        <v>55</v>
      </c>
      <c r="I867" s="1">
        <v>0</v>
      </c>
      <c r="J867" s="12">
        <f t="shared" si="26"/>
        <v>45312</v>
      </c>
      <c r="K867" s="14">
        <f t="shared" si="27"/>
        <v>1</v>
      </c>
      <c r="L867" s="13"/>
      <c r="M867" s="13"/>
    </row>
    <row r="868" spans="1:13" x14ac:dyDescent="0.25">
      <c r="A868" s="1" t="s">
        <v>2805</v>
      </c>
      <c r="B868" s="1" t="s">
        <v>2806</v>
      </c>
      <c r="C868" s="1" t="s">
        <v>2807</v>
      </c>
      <c r="D868" s="1" t="s">
        <v>20</v>
      </c>
      <c r="E868" s="1" t="s">
        <v>2808</v>
      </c>
      <c r="F868" s="1" t="s">
        <v>75</v>
      </c>
      <c r="G868" s="1" t="s">
        <v>35</v>
      </c>
      <c r="H868" s="1" t="s">
        <v>24</v>
      </c>
      <c r="I868" s="1">
        <v>0</v>
      </c>
      <c r="J868" s="12">
        <f t="shared" si="26"/>
        <v>45323</v>
      </c>
      <c r="K868" s="14">
        <f t="shared" si="27"/>
        <v>2</v>
      </c>
      <c r="L868" s="13"/>
      <c r="M868" s="13"/>
    </row>
    <row r="869" spans="1:13" x14ac:dyDescent="0.25">
      <c r="A869" s="1" t="s">
        <v>612</v>
      </c>
      <c r="B869" s="1" t="s">
        <v>2809</v>
      </c>
      <c r="C869" s="1" t="s">
        <v>2810</v>
      </c>
      <c r="D869" s="1" t="s">
        <v>20</v>
      </c>
      <c r="E869" s="1" t="s">
        <v>1919</v>
      </c>
      <c r="F869" s="1" t="s">
        <v>14</v>
      </c>
      <c r="G869" s="1" t="s">
        <v>23</v>
      </c>
      <c r="H869" s="1" t="s">
        <v>55</v>
      </c>
      <c r="I869" s="1">
        <v>0</v>
      </c>
      <c r="J869" s="12">
        <f t="shared" si="26"/>
        <v>45292</v>
      </c>
      <c r="K869" s="14">
        <f t="shared" si="27"/>
        <v>1</v>
      </c>
      <c r="L869" s="13"/>
      <c r="M869" s="13"/>
    </row>
    <row r="870" spans="1:13" x14ac:dyDescent="0.25">
      <c r="A870" s="1" t="s">
        <v>2811</v>
      </c>
      <c r="B870" s="1" t="s">
        <v>2812</v>
      </c>
      <c r="C870" s="1" t="s">
        <v>2813</v>
      </c>
      <c r="D870" s="1" t="s">
        <v>45</v>
      </c>
      <c r="E870" s="1" t="s">
        <v>1895</v>
      </c>
      <c r="F870" s="1" t="s">
        <v>22</v>
      </c>
      <c r="G870" s="1" t="s">
        <v>23</v>
      </c>
      <c r="H870" s="1" t="s">
        <v>16</v>
      </c>
      <c r="I870" s="1">
        <v>4350</v>
      </c>
      <c r="J870" s="12">
        <f t="shared" si="26"/>
        <v>45322</v>
      </c>
      <c r="K870" s="14">
        <f t="shared" si="27"/>
        <v>1</v>
      </c>
      <c r="L870" s="13"/>
      <c r="M870" s="13"/>
    </row>
    <row r="871" spans="1:13" x14ac:dyDescent="0.25">
      <c r="A871" s="1" t="s">
        <v>2814</v>
      </c>
      <c r="B871" s="1" t="s">
        <v>2815</v>
      </c>
      <c r="C871" s="1" t="s">
        <v>2816</v>
      </c>
      <c r="D871" s="1" t="s">
        <v>45</v>
      </c>
      <c r="E871" s="1" t="s">
        <v>1600</v>
      </c>
      <c r="F871" s="1" t="s">
        <v>22</v>
      </c>
      <c r="G871" s="1" t="s">
        <v>15</v>
      </c>
      <c r="H871" s="1" t="s">
        <v>55</v>
      </c>
      <c r="I871" s="1">
        <v>2783</v>
      </c>
      <c r="J871" s="12">
        <f t="shared" si="26"/>
        <v>45325</v>
      </c>
      <c r="K871" s="14">
        <f t="shared" si="27"/>
        <v>2</v>
      </c>
      <c r="L871" s="13"/>
      <c r="M871" s="13"/>
    </row>
    <row r="872" spans="1:13" x14ac:dyDescent="0.25">
      <c r="A872" s="1" t="s">
        <v>911</v>
      </c>
      <c r="B872" s="1" t="s">
        <v>2817</v>
      </c>
      <c r="C872" s="1" t="s">
        <v>2818</v>
      </c>
      <c r="D872" s="1" t="s">
        <v>20</v>
      </c>
      <c r="E872" s="1" t="s">
        <v>2819</v>
      </c>
      <c r="F872" s="1" t="s">
        <v>29</v>
      </c>
      <c r="G872" s="1" t="s">
        <v>35</v>
      </c>
      <c r="H872" s="1" t="s">
        <v>55</v>
      </c>
      <c r="I872" s="1">
        <v>0</v>
      </c>
      <c r="J872" s="12">
        <f t="shared" si="26"/>
        <v>45298</v>
      </c>
      <c r="K872" s="14">
        <f t="shared" si="27"/>
        <v>1</v>
      </c>
      <c r="L872" s="13"/>
      <c r="M872" s="13"/>
    </row>
    <row r="873" spans="1:13" x14ac:dyDescent="0.25">
      <c r="A873" s="1" t="s">
        <v>1171</v>
      </c>
      <c r="B873" s="1" t="s">
        <v>2820</v>
      </c>
      <c r="C873" s="1" t="s">
        <v>2821</v>
      </c>
      <c r="D873" s="1" t="s">
        <v>12</v>
      </c>
      <c r="E873" s="1" t="s">
        <v>2822</v>
      </c>
      <c r="F873" s="1" t="s">
        <v>40</v>
      </c>
      <c r="G873" s="1" t="s">
        <v>15</v>
      </c>
      <c r="H873" s="1" t="s">
        <v>30</v>
      </c>
      <c r="I873" s="1">
        <v>0</v>
      </c>
      <c r="J873" s="12">
        <f t="shared" si="26"/>
        <v>45300</v>
      </c>
      <c r="K873" s="14">
        <f t="shared" si="27"/>
        <v>1</v>
      </c>
      <c r="L873" s="13"/>
      <c r="M873" s="13"/>
    </row>
    <row r="874" spans="1:13" x14ac:dyDescent="0.25">
      <c r="A874" s="1" t="s">
        <v>2823</v>
      </c>
      <c r="B874" s="1" t="s">
        <v>2824</v>
      </c>
      <c r="C874" s="1" t="s">
        <v>2825</v>
      </c>
      <c r="D874" s="1" t="s">
        <v>45</v>
      </c>
      <c r="E874" s="1" t="s">
        <v>2826</v>
      </c>
      <c r="F874" s="1" t="s">
        <v>29</v>
      </c>
      <c r="G874" s="1" t="s">
        <v>35</v>
      </c>
      <c r="H874" s="1" t="s">
        <v>16</v>
      </c>
      <c r="I874" s="1">
        <v>2744</v>
      </c>
      <c r="J874" s="12">
        <f t="shared" si="26"/>
        <v>45302</v>
      </c>
      <c r="K874" s="14">
        <f t="shared" si="27"/>
        <v>1</v>
      </c>
      <c r="L874" s="13"/>
      <c r="M874" s="13"/>
    </row>
    <row r="875" spans="1:13" x14ac:dyDescent="0.25">
      <c r="A875" s="1" t="s">
        <v>1492</v>
      </c>
      <c r="B875" s="1" t="s">
        <v>2827</v>
      </c>
      <c r="C875" s="1" t="s">
        <v>2828</v>
      </c>
      <c r="D875" s="1" t="s">
        <v>12</v>
      </c>
      <c r="E875" s="1" t="s">
        <v>1529</v>
      </c>
      <c r="F875" s="1" t="s">
        <v>22</v>
      </c>
      <c r="G875" s="1" t="s">
        <v>15</v>
      </c>
      <c r="H875" s="1" t="s">
        <v>24</v>
      </c>
      <c r="I875" s="1">
        <v>0</v>
      </c>
      <c r="J875" s="12">
        <f t="shared" si="26"/>
        <v>45323</v>
      </c>
      <c r="K875" s="14">
        <f t="shared" si="27"/>
        <v>2</v>
      </c>
      <c r="L875" s="13"/>
      <c r="M875" s="13"/>
    </row>
    <row r="876" spans="1:13" x14ac:dyDescent="0.25">
      <c r="A876" s="1" t="s">
        <v>582</v>
      </c>
      <c r="B876" s="1" t="s">
        <v>2829</v>
      </c>
      <c r="C876" s="1" t="s">
        <v>2830</v>
      </c>
      <c r="D876" s="1" t="s">
        <v>20</v>
      </c>
      <c r="E876" s="1" t="s">
        <v>1721</v>
      </c>
      <c r="F876" s="1" t="s">
        <v>29</v>
      </c>
      <c r="G876" s="1" t="s">
        <v>15</v>
      </c>
      <c r="H876" s="1" t="s">
        <v>30</v>
      </c>
      <c r="I876" s="1">
        <v>0</v>
      </c>
      <c r="J876" s="12">
        <f t="shared" si="26"/>
        <v>45318</v>
      </c>
      <c r="K876" s="14">
        <f t="shared" si="27"/>
        <v>1</v>
      </c>
      <c r="L876" s="13"/>
      <c r="M876" s="13"/>
    </row>
    <row r="877" spans="1:13" x14ac:dyDescent="0.25">
      <c r="A877" s="1" t="s">
        <v>2068</v>
      </c>
      <c r="B877" s="1" t="s">
        <v>2831</v>
      </c>
      <c r="C877" s="1" t="s">
        <v>2832</v>
      </c>
      <c r="D877" s="1" t="s">
        <v>12</v>
      </c>
      <c r="E877" s="1" t="s">
        <v>2239</v>
      </c>
      <c r="F877" s="1" t="s">
        <v>29</v>
      </c>
      <c r="G877" s="1" t="s">
        <v>35</v>
      </c>
      <c r="H877" s="1" t="s">
        <v>55</v>
      </c>
      <c r="I877" s="1">
        <v>0</v>
      </c>
      <c r="J877" s="12">
        <f t="shared" si="26"/>
        <v>45322</v>
      </c>
      <c r="K877" s="14">
        <f t="shared" si="27"/>
        <v>1</v>
      </c>
      <c r="L877" s="13"/>
      <c r="M877" s="13"/>
    </row>
    <row r="878" spans="1:13" x14ac:dyDescent="0.25">
      <c r="A878" s="1" t="s">
        <v>2833</v>
      </c>
      <c r="B878" s="1" t="s">
        <v>2834</v>
      </c>
      <c r="C878" s="1" t="s">
        <v>2835</v>
      </c>
      <c r="D878" s="1" t="s">
        <v>20</v>
      </c>
      <c r="E878" s="1" t="s">
        <v>789</v>
      </c>
      <c r="F878" s="1" t="s">
        <v>29</v>
      </c>
      <c r="G878" s="1" t="s">
        <v>15</v>
      </c>
      <c r="H878" s="1" t="s">
        <v>55</v>
      </c>
      <c r="I878" s="1">
        <v>0</v>
      </c>
      <c r="J878" s="12">
        <f t="shared" si="26"/>
        <v>45302</v>
      </c>
      <c r="K878" s="14">
        <f t="shared" si="27"/>
        <v>1</v>
      </c>
      <c r="L878" s="13"/>
      <c r="M878" s="13"/>
    </row>
    <row r="879" spans="1:13" x14ac:dyDescent="0.25">
      <c r="A879" s="1" t="s">
        <v>2182</v>
      </c>
      <c r="B879" s="1" t="s">
        <v>2836</v>
      </c>
      <c r="C879" s="1" t="s">
        <v>2837</v>
      </c>
      <c r="D879" s="1" t="s">
        <v>45</v>
      </c>
      <c r="E879" s="1" t="s">
        <v>2646</v>
      </c>
      <c r="F879" s="1" t="s">
        <v>29</v>
      </c>
      <c r="G879" s="1" t="s">
        <v>35</v>
      </c>
      <c r="H879" s="1" t="s">
        <v>41</v>
      </c>
      <c r="I879" s="1">
        <v>295</v>
      </c>
      <c r="J879" s="12">
        <f t="shared" si="26"/>
        <v>45308</v>
      </c>
      <c r="K879" s="14">
        <f t="shared" si="27"/>
        <v>1</v>
      </c>
      <c r="L879" s="13"/>
      <c r="M879" s="13"/>
    </row>
    <row r="880" spans="1:13" x14ac:dyDescent="0.25">
      <c r="A880" s="1" t="s">
        <v>586</v>
      </c>
      <c r="B880" s="1" t="s">
        <v>2838</v>
      </c>
      <c r="C880" s="1" t="s">
        <v>2839</v>
      </c>
      <c r="D880" s="1" t="s">
        <v>20</v>
      </c>
      <c r="E880" s="1" t="s">
        <v>2781</v>
      </c>
      <c r="F880" s="1" t="s">
        <v>14</v>
      </c>
      <c r="G880" s="1" t="s">
        <v>23</v>
      </c>
      <c r="H880" s="1" t="s">
        <v>24</v>
      </c>
      <c r="I880" s="1">
        <v>0</v>
      </c>
      <c r="J880" s="12">
        <f t="shared" si="26"/>
        <v>45300</v>
      </c>
      <c r="K880" s="14">
        <f t="shared" si="27"/>
        <v>1</v>
      </c>
      <c r="L880" s="13"/>
      <c r="M880" s="13"/>
    </row>
    <row r="881" spans="1:13" x14ac:dyDescent="0.25">
      <c r="A881" s="1" t="s">
        <v>779</v>
      </c>
      <c r="B881" s="1" t="s">
        <v>2840</v>
      </c>
      <c r="C881" s="1" t="s">
        <v>2841</v>
      </c>
      <c r="D881" s="1" t="s">
        <v>45</v>
      </c>
      <c r="E881" s="1" t="s">
        <v>2842</v>
      </c>
      <c r="F881" s="1" t="s">
        <v>22</v>
      </c>
      <c r="G881" s="1" t="s">
        <v>15</v>
      </c>
      <c r="H881" s="1" t="s">
        <v>24</v>
      </c>
      <c r="I881" s="1">
        <v>4037</v>
      </c>
      <c r="J881" s="12">
        <f t="shared" si="26"/>
        <v>45309</v>
      </c>
      <c r="K881" s="14">
        <f t="shared" si="27"/>
        <v>1</v>
      </c>
      <c r="L881" s="13"/>
      <c r="M881" s="13"/>
    </row>
    <row r="882" spans="1:13" x14ac:dyDescent="0.25">
      <c r="A882" s="1" t="s">
        <v>2843</v>
      </c>
      <c r="B882" s="1" t="s">
        <v>1358</v>
      </c>
      <c r="C882" s="1" t="s">
        <v>2844</v>
      </c>
      <c r="D882" s="1" t="s">
        <v>12</v>
      </c>
      <c r="E882" s="1" t="s">
        <v>2845</v>
      </c>
      <c r="F882" s="1" t="s">
        <v>22</v>
      </c>
      <c r="G882" s="1" t="s">
        <v>23</v>
      </c>
      <c r="H882" s="1" t="s">
        <v>16</v>
      </c>
      <c r="I882" s="1">
        <v>0</v>
      </c>
      <c r="J882" s="12">
        <f t="shared" si="26"/>
        <v>45325</v>
      </c>
      <c r="K882" s="14">
        <f t="shared" si="27"/>
        <v>2</v>
      </c>
      <c r="L882" s="13"/>
      <c r="M882" s="13"/>
    </row>
    <row r="883" spans="1:13" x14ac:dyDescent="0.25">
      <c r="A883" s="1" t="s">
        <v>538</v>
      </c>
      <c r="B883" s="1" t="s">
        <v>2846</v>
      </c>
      <c r="C883" s="1" t="s">
        <v>2847</v>
      </c>
      <c r="D883" s="1" t="s">
        <v>12</v>
      </c>
      <c r="E883" s="1" t="s">
        <v>1434</v>
      </c>
      <c r="F883" s="1" t="s">
        <v>29</v>
      </c>
      <c r="G883" s="1" t="s">
        <v>35</v>
      </c>
      <c r="H883" s="1" t="s">
        <v>16</v>
      </c>
      <c r="I883" s="1">
        <v>0</v>
      </c>
      <c r="J883" s="12">
        <f t="shared" si="26"/>
        <v>45321</v>
      </c>
      <c r="K883" s="14">
        <f t="shared" si="27"/>
        <v>1</v>
      </c>
      <c r="L883" s="13"/>
      <c r="M883" s="13"/>
    </row>
    <row r="884" spans="1:13" x14ac:dyDescent="0.25">
      <c r="A884" s="1" t="s">
        <v>2848</v>
      </c>
      <c r="B884" s="1" t="s">
        <v>2849</v>
      </c>
      <c r="C884" s="1" t="s">
        <v>2850</v>
      </c>
      <c r="D884" s="1" t="s">
        <v>20</v>
      </c>
      <c r="E884" s="1" t="s">
        <v>2851</v>
      </c>
      <c r="F884" s="1" t="s">
        <v>29</v>
      </c>
      <c r="G884" s="1" t="s">
        <v>35</v>
      </c>
      <c r="H884" s="1" t="s">
        <v>55</v>
      </c>
      <c r="I884" s="1">
        <v>0</v>
      </c>
      <c r="J884" s="12">
        <f t="shared" si="26"/>
        <v>45321</v>
      </c>
      <c r="K884" s="14">
        <f t="shared" si="27"/>
        <v>1</v>
      </c>
      <c r="L884" s="13"/>
      <c r="M884" s="13"/>
    </row>
    <row r="885" spans="1:13" x14ac:dyDescent="0.25">
      <c r="A885" s="1" t="s">
        <v>742</v>
      </c>
      <c r="B885" s="1" t="s">
        <v>2852</v>
      </c>
      <c r="C885" s="1" t="s">
        <v>2853</v>
      </c>
      <c r="D885" s="1" t="s">
        <v>45</v>
      </c>
      <c r="E885" s="1" t="s">
        <v>2277</v>
      </c>
      <c r="F885" s="1" t="s">
        <v>29</v>
      </c>
      <c r="G885" s="1" t="s">
        <v>35</v>
      </c>
      <c r="H885" s="1" t="s">
        <v>16</v>
      </c>
      <c r="I885" s="1">
        <v>2703</v>
      </c>
      <c r="J885" s="12">
        <f t="shared" si="26"/>
        <v>45305</v>
      </c>
      <c r="K885" s="14">
        <f t="shared" si="27"/>
        <v>1</v>
      </c>
      <c r="L885" s="13"/>
      <c r="M885" s="13"/>
    </row>
    <row r="886" spans="1:13" x14ac:dyDescent="0.25">
      <c r="A886" s="1" t="s">
        <v>2854</v>
      </c>
      <c r="B886" s="1" t="s">
        <v>2855</v>
      </c>
      <c r="C886" s="1" t="s">
        <v>2856</v>
      </c>
      <c r="D886" s="1" t="s">
        <v>20</v>
      </c>
      <c r="E886" s="1" t="s">
        <v>2857</v>
      </c>
      <c r="F886" s="1" t="s">
        <v>22</v>
      </c>
      <c r="G886" s="1" t="s">
        <v>35</v>
      </c>
      <c r="H886" s="1" t="s">
        <v>16</v>
      </c>
      <c r="I886" s="1">
        <v>0</v>
      </c>
      <c r="J886" s="12">
        <f t="shared" si="26"/>
        <v>45312</v>
      </c>
      <c r="K886" s="14">
        <f t="shared" si="27"/>
        <v>1</v>
      </c>
      <c r="L886" s="13"/>
      <c r="M886" s="13"/>
    </row>
    <row r="887" spans="1:13" x14ac:dyDescent="0.25">
      <c r="A887" s="1" t="s">
        <v>67</v>
      </c>
      <c r="B887" s="1" t="s">
        <v>2858</v>
      </c>
      <c r="C887" s="1" t="s">
        <v>2859</v>
      </c>
      <c r="D887" s="1" t="s">
        <v>20</v>
      </c>
      <c r="E887" s="1" t="s">
        <v>523</v>
      </c>
      <c r="F887" s="1" t="s">
        <v>40</v>
      </c>
      <c r="G887" s="1" t="s">
        <v>23</v>
      </c>
      <c r="H887" s="1" t="s">
        <v>24</v>
      </c>
      <c r="I887" s="1">
        <v>0</v>
      </c>
      <c r="J887" s="12">
        <f t="shared" si="26"/>
        <v>45318</v>
      </c>
      <c r="K887" s="14">
        <f t="shared" si="27"/>
        <v>1</v>
      </c>
      <c r="L887" s="13"/>
      <c r="M887" s="13"/>
    </row>
    <row r="888" spans="1:13" x14ac:dyDescent="0.25">
      <c r="A888" s="1" t="s">
        <v>2860</v>
      </c>
      <c r="B888" s="1" t="s">
        <v>2861</v>
      </c>
      <c r="C888" s="1" t="s">
        <v>2862</v>
      </c>
      <c r="D888" s="1" t="s">
        <v>12</v>
      </c>
      <c r="E888" s="1" t="s">
        <v>769</v>
      </c>
      <c r="F888" s="1" t="s">
        <v>75</v>
      </c>
      <c r="G888" s="1" t="s">
        <v>15</v>
      </c>
      <c r="H888" s="1" t="s">
        <v>30</v>
      </c>
      <c r="I888" s="1">
        <v>0</v>
      </c>
      <c r="J888" s="12">
        <f t="shared" si="26"/>
        <v>45305</v>
      </c>
      <c r="K888" s="14">
        <f t="shared" si="27"/>
        <v>1</v>
      </c>
      <c r="L888" s="13"/>
      <c r="M888" s="13"/>
    </row>
    <row r="889" spans="1:13" x14ac:dyDescent="0.25">
      <c r="A889" s="1" t="s">
        <v>2863</v>
      </c>
      <c r="B889" s="1" t="s">
        <v>2864</v>
      </c>
      <c r="C889" s="1" t="s">
        <v>2865</v>
      </c>
      <c r="D889" s="1" t="s">
        <v>12</v>
      </c>
      <c r="E889" s="1" t="s">
        <v>2124</v>
      </c>
      <c r="F889" s="1" t="s">
        <v>75</v>
      </c>
      <c r="G889" s="1" t="s">
        <v>35</v>
      </c>
      <c r="H889" s="1" t="s">
        <v>16</v>
      </c>
      <c r="I889" s="1">
        <v>0</v>
      </c>
      <c r="J889" s="12">
        <f t="shared" si="26"/>
        <v>45313</v>
      </c>
      <c r="K889" s="14">
        <f t="shared" si="27"/>
        <v>1</v>
      </c>
      <c r="L889" s="13"/>
      <c r="M889" s="13"/>
    </row>
    <row r="890" spans="1:13" x14ac:dyDescent="0.25">
      <c r="A890" s="1" t="s">
        <v>2866</v>
      </c>
      <c r="B890" s="1" t="s">
        <v>2867</v>
      </c>
      <c r="C890" s="1" t="s">
        <v>2868</v>
      </c>
      <c r="D890" s="1" t="s">
        <v>45</v>
      </c>
      <c r="E890" s="1" t="s">
        <v>991</v>
      </c>
      <c r="F890" s="1" t="s">
        <v>75</v>
      </c>
      <c r="G890" s="1" t="s">
        <v>15</v>
      </c>
      <c r="H890" s="1" t="s">
        <v>30</v>
      </c>
      <c r="I890" s="1">
        <v>4924</v>
      </c>
      <c r="J890" s="12">
        <f t="shared" si="26"/>
        <v>45320</v>
      </c>
      <c r="K890" s="14">
        <f t="shared" si="27"/>
        <v>1</v>
      </c>
      <c r="L890" s="13"/>
      <c r="M890" s="13"/>
    </row>
    <row r="891" spans="1:13" x14ac:dyDescent="0.25">
      <c r="A891" s="1" t="s">
        <v>1777</v>
      </c>
      <c r="B891" s="1" t="s">
        <v>449</v>
      </c>
      <c r="C891" s="1" t="s">
        <v>2869</v>
      </c>
      <c r="D891" s="1" t="s">
        <v>12</v>
      </c>
      <c r="E891" s="1" t="s">
        <v>2128</v>
      </c>
      <c r="F891" s="1" t="s">
        <v>14</v>
      </c>
      <c r="G891" s="1" t="s">
        <v>15</v>
      </c>
      <c r="H891" s="1" t="s">
        <v>16</v>
      </c>
      <c r="I891" s="1">
        <v>0</v>
      </c>
      <c r="J891" s="12">
        <f t="shared" si="26"/>
        <v>45299</v>
      </c>
      <c r="K891" s="14">
        <f t="shared" si="27"/>
        <v>1</v>
      </c>
      <c r="L891" s="13"/>
      <c r="M891" s="13"/>
    </row>
    <row r="892" spans="1:13" x14ac:dyDescent="0.25">
      <c r="A892" s="1" t="s">
        <v>2870</v>
      </c>
      <c r="B892" s="1" t="s">
        <v>2871</v>
      </c>
      <c r="C892" s="1" t="s">
        <v>2872</v>
      </c>
      <c r="D892" s="1" t="s">
        <v>45</v>
      </c>
      <c r="E892" s="1" t="s">
        <v>2037</v>
      </c>
      <c r="F892" s="1" t="s">
        <v>75</v>
      </c>
      <c r="G892" s="1" t="s">
        <v>15</v>
      </c>
      <c r="H892" s="1" t="s">
        <v>24</v>
      </c>
      <c r="I892" s="1">
        <v>4915</v>
      </c>
      <c r="J892" s="12">
        <f t="shared" si="26"/>
        <v>45316</v>
      </c>
      <c r="K892" s="14">
        <f t="shared" si="27"/>
        <v>1</v>
      </c>
      <c r="L892" s="13"/>
      <c r="M892" s="13"/>
    </row>
    <row r="893" spans="1:13" x14ac:dyDescent="0.25">
      <c r="A893" s="1" t="s">
        <v>1365</v>
      </c>
      <c r="B893" s="1" t="s">
        <v>467</v>
      </c>
      <c r="C893" s="1" t="s">
        <v>2873</v>
      </c>
      <c r="D893" s="1" t="s">
        <v>45</v>
      </c>
      <c r="E893" s="1" t="s">
        <v>432</v>
      </c>
      <c r="F893" s="1" t="s">
        <v>75</v>
      </c>
      <c r="G893" s="1" t="s">
        <v>23</v>
      </c>
      <c r="H893" s="1" t="s">
        <v>24</v>
      </c>
      <c r="I893" s="1">
        <v>3415</v>
      </c>
      <c r="J893" s="12">
        <f t="shared" si="26"/>
        <v>45294</v>
      </c>
      <c r="K893" s="14">
        <f t="shared" si="27"/>
        <v>1</v>
      </c>
      <c r="L893" s="13"/>
      <c r="M893" s="13"/>
    </row>
    <row r="894" spans="1:13" x14ac:dyDescent="0.25">
      <c r="A894" s="1" t="s">
        <v>416</v>
      </c>
      <c r="B894" s="1" t="s">
        <v>2874</v>
      </c>
      <c r="C894" s="1" t="s">
        <v>2875</v>
      </c>
      <c r="D894" s="1" t="s">
        <v>12</v>
      </c>
      <c r="E894" s="1" t="s">
        <v>70</v>
      </c>
      <c r="F894" s="1" t="s">
        <v>29</v>
      </c>
      <c r="G894" s="1" t="s">
        <v>15</v>
      </c>
      <c r="H894" s="1" t="s">
        <v>16</v>
      </c>
      <c r="I894" s="1">
        <v>0</v>
      </c>
      <c r="J894" s="12">
        <f t="shared" si="26"/>
        <v>45310</v>
      </c>
      <c r="K894" s="14">
        <f t="shared" si="27"/>
        <v>1</v>
      </c>
      <c r="L894" s="13"/>
      <c r="M894" s="13"/>
    </row>
    <row r="895" spans="1:13" x14ac:dyDescent="0.25">
      <c r="A895" s="1" t="s">
        <v>2876</v>
      </c>
      <c r="B895" s="1" t="s">
        <v>2877</v>
      </c>
      <c r="C895" s="1" t="s">
        <v>2878</v>
      </c>
      <c r="D895" s="1" t="s">
        <v>12</v>
      </c>
      <c r="E895" s="1" t="s">
        <v>808</v>
      </c>
      <c r="F895" s="1" t="s">
        <v>40</v>
      </c>
      <c r="G895" s="1" t="s">
        <v>15</v>
      </c>
      <c r="H895" s="1" t="s">
        <v>41</v>
      </c>
      <c r="I895" s="1">
        <v>0</v>
      </c>
      <c r="J895" s="12">
        <f t="shared" si="26"/>
        <v>45307</v>
      </c>
      <c r="K895" s="14">
        <f t="shared" si="27"/>
        <v>1</v>
      </c>
      <c r="L895" s="13"/>
      <c r="M895" s="13"/>
    </row>
    <row r="896" spans="1:13" x14ac:dyDescent="0.25">
      <c r="A896" s="1" t="s">
        <v>2879</v>
      </c>
      <c r="B896" s="1" t="s">
        <v>2880</v>
      </c>
      <c r="C896" s="1" t="s">
        <v>2881</v>
      </c>
      <c r="D896" s="1" t="s">
        <v>20</v>
      </c>
      <c r="E896" s="1" t="s">
        <v>661</v>
      </c>
      <c r="F896" s="1" t="s">
        <v>40</v>
      </c>
      <c r="G896" s="1" t="s">
        <v>35</v>
      </c>
      <c r="H896" s="1" t="s">
        <v>55</v>
      </c>
      <c r="I896" s="1">
        <v>0</v>
      </c>
      <c r="J896" s="12">
        <f t="shared" si="26"/>
        <v>45308</v>
      </c>
      <c r="K896" s="14">
        <f t="shared" si="27"/>
        <v>1</v>
      </c>
      <c r="L896" s="13"/>
      <c r="M896" s="13"/>
    </row>
    <row r="897" spans="1:13" x14ac:dyDescent="0.25">
      <c r="A897" s="1" t="s">
        <v>626</v>
      </c>
      <c r="B897" s="1" t="s">
        <v>2882</v>
      </c>
      <c r="C897" s="1" t="s">
        <v>2883</v>
      </c>
      <c r="D897" s="1" t="s">
        <v>20</v>
      </c>
      <c r="E897" s="1" t="s">
        <v>865</v>
      </c>
      <c r="F897" s="1" t="s">
        <v>75</v>
      </c>
      <c r="G897" s="1" t="s">
        <v>15</v>
      </c>
      <c r="H897" s="1" t="s">
        <v>41</v>
      </c>
      <c r="I897" s="1">
        <v>0</v>
      </c>
      <c r="J897" s="12">
        <f t="shared" si="26"/>
        <v>45310</v>
      </c>
      <c r="K897" s="14">
        <f t="shared" si="27"/>
        <v>1</v>
      </c>
      <c r="L897" s="13"/>
      <c r="M897" s="13"/>
    </row>
    <row r="898" spans="1:13" x14ac:dyDescent="0.25">
      <c r="A898" s="1" t="s">
        <v>56</v>
      </c>
      <c r="B898" s="1" t="s">
        <v>2884</v>
      </c>
      <c r="C898" s="1" t="s">
        <v>2885</v>
      </c>
      <c r="D898" s="1" t="s">
        <v>45</v>
      </c>
      <c r="E898" s="1" t="s">
        <v>1861</v>
      </c>
      <c r="F898" s="1" t="s">
        <v>75</v>
      </c>
      <c r="G898" s="1" t="s">
        <v>23</v>
      </c>
      <c r="H898" s="1" t="s">
        <v>55</v>
      </c>
      <c r="I898" s="1">
        <v>2759</v>
      </c>
      <c r="J898" s="12">
        <f t="shared" si="26"/>
        <v>45326</v>
      </c>
      <c r="K898" s="14">
        <f t="shared" si="27"/>
        <v>2</v>
      </c>
      <c r="L898" s="13"/>
      <c r="M898" s="13"/>
    </row>
    <row r="899" spans="1:13" x14ac:dyDescent="0.25">
      <c r="A899" s="1" t="s">
        <v>2886</v>
      </c>
      <c r="B899" s="1" t="s">
        <v>826</v>
      </c>
      <c r="C899" s="1" t="s">
        <v>2887</v>
      </c>
      <c r="D899" s="1" t="s">
        <v>20</v>
      </c>
      <c r="E899" s="1" t="s">
        <v>2888</v>
      </c>
      <c r="F899" s="1" t="s">
        <v>22</v>
      </c>
      <c r="G899" s="1" t="s">
        <v>15</v>
      </c>
      <c r="H899" s="1" t="s">
        <v>41</v>
      </c>
      <c r="I899" s="1">
        <v>0</v>
      </c>
      <c r="J899" s="12">
        <f t="shared" si="26"/>
        <v>45300</v>
      </c>
      <c r="K899" s="14">
        <f t="shared" si="27"/>
        <v>1</v>
      </c>
      <c r="L899" s="13"/>
      <c r="M899" s="13"/>
    </row>
    <row r="900" spans="1:13" x14ac:dyDescent="0.25">
      <c r="A900" s="1" t="s">
        <v>2375</v>
      </c>
      <c r="B900" s="1" t="s">
        <v>2889</v>
      </c>
      <c r="C900" s="1" t="s">
        <v>2890</v>
      </c>
      <c r="D900" s="1" t="s">
        <v>45</v>
      </c>
      <c r="E900" s="1" t="s">
        <v>1406</v>
      </c>
      <c r="F900" s="1" t="s">
        <v>14</v>
      </c>
      <c r="G900" s="1" t="s">
        <v>35</v>
      </c>
      <c r="H900" s="1" t="s">
        <v>30</v>
      </c>
      <c r="I900" s="1">
        <v>3751</v>
      </c>
      <c r="J900" s="12">
        <f t="shared" ref="J900:J963" si="28">INT(C900)</f>
        <v>45303</v>
      </c>
      <c r="K900" s="14">
        <f t="shared" ref="K900:K963" si="29">MONTH(C900)</f>
        <v>1</v>
      </c>
      <c r="L900" s="13"/>
      <c r="M900" s="13"/>
    </row>
    <row r="901" spans="1:13" x14ac:dyDescent="0.25">
      <c r="A901" s="1" t="s">
        <v>1129</v>
      </c>
      <c r="B901" s="1" t="s">
        <v>2891</v>
      </c>
      <c r="C901" s="1" t="s">
        <v>2892</v>
      </c>
      <c r="D901" s="1" t="s">
        <v>12</v>
      </c>
      <c r="E901" s="1" t="s">
        <v>1084</v>
      </c>
      <c r="F901" s="1" t="s">
        <v>14</v>
      </c>
      <c r="G901" s="1" t="s">
        <v>23</v>
      </c>
      <c r="H901" s="1" t="s">
        <v>30</v>
      </c>
      <c r="I901" s="1">
        <v>0</v>
      </c>
      <c r="J901" s="12">
        <f t="shared" si="28"/>
        <v>45297</v>
      </c>
      <c r="K901" s="14">
        <f t="shared" si="29"/>
        <v>1</v>
      </c>
      <c r="L901" s="13"/>
      <c r="M901" s="13"/>
    </row>
    <row r="902" spans="1:13" x14ac:dyDescent="0.25">
      <c r="A902" s="1" t="s">
        <v>2893</v>
      </c>
      <c r="B902" s="1" t="s">
        <v>2894</v>
      </c>
      <c r="C902" s="1" t="s">
        <v>2895</v>
      </c>
      <c r="D902" s="1" t="s">
        <v>20</v>
      </c>
      <c r="E902" s="1" t="s">
        <v>2896</v>
      </c>
      <c r="F902" s="1" t="s">
        <v>29</v>
      </c>
      <c r="G902" s="1" t="s">
        <v>23</v>
      </c>
      <c r="H902" s="1" t="s">
        <v>16</v>
      </c>
      <c r="I902" s="1">
        <v>0</v>
      </c>
      <c r="J902" s="12">
        <f t="shared" si="28"/>
        <v>45302</v>
      </c>
      <c r="K902" s="14">
        <f t="shared" si="29"/>
        <v>1</v>
      </c>
      <c r="L902" s="13"/>
      <c r="M902" s="13"/>
    </row>
    <row r="903" spans="1:13" x14ac:dyDescent="0.25">
      <c r="A903" s="1" t="s">
        <v>2542</v>
      </c>
      <c r="B903" s="1" t="s">
        <v>2897</v>
      </c>
      <c r="C903" s="1" t="s">
        <v>2898</v>
      </c>
      <c r="D903" s="1" t="s">
        <v>20</v>
      </c>
      <c r="E903" s="1" t="s">
        <v>961</v>
      </c>
      <c r="F903" s="1" t="s">
        <v>29</v>
      </c>
      <c r="G903" s="1" t="s">
        <v>35</v>
      </c>
      <c r="H903" s="1" t="s">
        <v>55</v>
      </c>
      <c r="I903" s="1">
        <v>0</v>
      </c>
      <c r="J903" s="12">
        <f t="shared" si="28"/>
        <v>45302</v>
      </c>
      <c r="K903" s="14">
        <f t="shared" si="29"/>
        <v>1</v>
      </c>
      <c r="L903" s="13"/>
      <c r="M903" s="13"/>
    </row>
    <row r="904" spans="1:13" x14ac:dyDescent="0.25">
      <c r="A904" s="1" t="s">
        <v>2899</v>
      </c>
      <c r="B904" s="1" t="s">
        <v>2900</v>
      </c>
      <c r="C904" s="1" t="s">
        <v>2901</v>
      </c>
      <c r="D904" s="1" t="s">
        <v>45</v>
      </c>
      <c r="E904" s="1" t="s">
        <v>593</v>
      </c>
      <c r="F904" s="1" t="s">
        <v>75</v>
      </c>
      <c r="G904" s="1" t="s">
        <v>35</v>
      </c>
      <c r="H904" s="1" t="s">
        <v>16</v>
      </c>
      <c r="I904" s="1">
        <v>2002</v>
      </c>
      <c r="J904" s="12">
        <f t="shared" si="28"/>
        <v>45326</v>
      </c>
      <c r="K904" s="14">
        <f t="shared" si="29"/>
        <v>2</v>
      </c>
      <c r="L904" s="13"/>
      <c r="M904" s="13"/>
    </row>
    <row r="905" spans="1:13" x14ac:dyDescent="0.25">
      <c r="A905" s="1" t="s">
        <v>2893</v>
      </c>
      <c r="B905" s="1" t="s">
        <v>2902</v>
      </c>
      <c r="C905" s="1" t="s">
        <v>2903</v>
      </c>
      <c r="D905" s="1" t="s">
        <v>45</v>
      </c>
      <c r="E905" s="1" t="s">
        <v>1773</v>
      </c>
      <c r="F905" s="1" t="s">
        <v>40</v>
      </c>
      <c r="G905" s="1" t="s">
        <v>15</v>
      </c>
      <c r="H905" s="1" t="s">
        <v>55</v>
      </c>
      <c r="I905" s="1">
        <v>3124</v>
      </c>
      <c r="J905" s="12">
        <f t="shared" si="28"/>
        <v>45314</v>
      </c>
      <c r="K905" s="14">
        <f t="shared" si="29"/>
        <v>1</v>
      </c>
      <c r="L905" s="13"/>
      <c r="M905" s="13"/>
    </row>
    <row r="906" spans="1:13" x14ac:dyDescent="0.25">
      <c r="A906" s="1" t="s">
        <v>2904</v>
      </c>
      <c r="B906" s="1" t="s">
        <v>2905</v>
      </c>
      <c r="C906" s="1" t="s">
        <v>2906</v>
      </c>
      <c r="D906" s="1" t="s">
        <v>45</v>
      </c>
      <c r="E906" s="1" t="s">
        <v>2907</v>
      </c>
      <c r="F906" s="1" t="s">
        <v>29</v>
      </c>
      <c r="G906" s="1" t="s">
        <v>35</v>
      </c>
      <c r="H906" s="1" t="s">
        <v>24</v>
      </c>
      <c r="I906" s="1">
        <v>1107</v>
      </c>
      <c r="J906" s="12">
        <f t="shared" si="28"/>
        <v>45312</v>
      </c>
      <c r="K906" s="14">
        <f t="shared" si="29"/>
        <v>1</v>
      </c>
      <c r="L906" s="13"/>
      <c r="M906" s="13"/>
    </row>
    <row r="907" spans="1:13" x14ac:dyDescent="0.25">
      <c r="A907" s="1" t="s">
        <v>582</v>
      </c>
      <c r="B907" s="1" t="s">
        <v>2908</v>
      </c>
      <c r="C907" s="1" t="s">
        <v>2909</v>
      </c>
      <c r="D907" s="1" t="s">
        <v>12</v>
      </c>
      <c r="E907" s="1" t="s">
        <v>2910</v>
      </c>
      <c r="F907" s="1" t="s">
        <v>14</v>
      </c>
      <c r="G907" s="1" t="s">
        <v>23</v>
      </c>
      <c r="H907" s="1" t="s">
        <v>16</v>
      </c>
      <c r="I907" s="1">
        <v>0</v>
      </c>
      <c r="J907" s="12">
        <f t="shared" si="28"/>
        <v>45311</v>
      </c>
      <c r="K907" s="14">
        <f t="shared" si="29"/>
        <v>1</v>
      </c>
      <c r="L907" s="13"/>
      <c r="M907" s="13"/>
    </row>
    <row r="908" spans="1:13" x14ac:dyDescent="0.25">
      <c r="A908" s="1" t="s">
        <v>1424</v>
      </c>
      <c r="B908" s="1" t="s">
        <v>2911</v>
      </c>
      <c r="C908" s="1" t="s">
        <v>2912</v>
      </c>
      <c r="D908" s="1" t="s">
        <v>20</v>
      </c>
      <c r="E908" s="1" t="s">
        <v>2012</v>
      </c>
      <c r="F908" s="1" t="s">
        <v>22</v>
      </c>
      <c r="G908" s="1" t="s">
        <v>35</v>
      </c>
      <c r="H908" s="1" t="s">
        <v>41</v>
      </c>
      <c r="I908" s="1">
        <v>0</v>
      </c>
      <c r="J908" s="12">
        <f t="shared" si="28"/>
        <v>45324</v>
      </c>
      <c r="K908" s="14">
        <f t="shared" si="29"/>
        <v>2</v>
      </c>
      <c r="L908" s="13"/>
      <c r="M908" s="13"/>
    </row>
    <row r="909" spans="1:13" x14ac:dyDescent="0.25">
      <c r="A909" s="1" t="s">
        <v>2529</v>
      </c>
      <c r="B909" s="1" t="s">
        <v>2409</v>
      </c>
      <c r="C909" s="1" t="s">
        <v>2913</v>
      </c>
      <c r="D909" s="1" t="s">
        <v>20</v>
      </c>
      <c r="E909" s="1" t="s">
        <v>2914</v>
      </c>
      <c r="F909" s="1" t="s">
        <v>22</v>
      </c>
      <c r="G909" s="1" t="s">
        <v>15</v>
      </c>
      <c r="H909" s="1" t="s">
        <v>24</v>
      </c>
      <c r="I909" s="1">
        <v>0</v>
      </c>
      <c r="J909" s="12">
        <f t="shared" si="28"/>
        <v>45307</v>
      </c>
      <c r="K909" s="14">
        <f t="shared" si="29"/>
        <v>1</v>
      </c>
      <c r="L909" s="13"/>
      <c r="M909" s="13"/>
    </row>
    <row r="910" spans="1:13" x14ac:dyDescent="0.25">
      <c r="A910" s="1" t="s">
        <v>2739</v>
      </c>
      <c r="B910" s="1" t="s">
        <v>2915</v>
      </c>
      <c r="C910" s="1" t="s">
        <v>2916</v>
      </c>
      <c r="D910" s="1" t="s">
        <v>45</v>
      </c>
      <c r="E910" s="1" t="s">
        <v>2917</v>
      </c>
      <c r="F910" s="1" t="s">
        <v>14</v>
      </c>
      <c r="G910" s="1" t="s">
        <v>15</v>
      </c>
      <c r="H910" s="1" t="s">
        <v>41</v>
      </c>
      <c r="I910" s="1">
        <v>1591</v>
      </c>
      <c r="J910" s="12">
        <f t="shared" si="28"/>
        <v>45310</v>
      </c>
      <c r="K910" s="14">
        <f t="shared" si="29"/>
        <v>1</v>
      </c>
      <c r="L910" s="13"/>
      <c r="M910" s="13"/>
    </row>
    <row r="911" spans="1:13" x14ac:dyDescent="0.25">
      <c r="A911" s="1" t="s">
        <v>2918</v>
      </c>
      <c r="B911" s="1" t="s">
        <v>2919</v>
      </c>
      <c r="C911" s="1" t="s">
        <v>2920</v>
      </c>
      <c r="D911" s="1" t="s">
        <v>12</v>
      </c>
      <c r="E911" s="1" t="s">
        <v>1609</v>
      </c>
      <c r="F911" s="1" t="s">
        <v>75</v>
      </c>
      <c r="G911" s="1" t="s">
        <v>15</v>
      </c>
      <c r="H911" s="1" t="s">
        <v>41</v>
      </c>
      <c r="I911" s="1">
        <v>0</v>
      </c>
      <c r="J911" s="12">
        <f t="shared" si="28"/>
        <v>45299</v>
      </c>
      <c r="K911" s="14">
        <f t="shared" si="29"/>
        <v>1</v>
      </c>
      <c r="L911" s="13"/>
      <c r="M911" s="13"/>
    </row>
    <row r="912" spans="1:13" x14ac:dyDescent="0.25">
      <c r="A912" s="1" t="s">
        <v>1205</v>
      </c>
      <c r="B912" s="1" t="s">
        <v>2921</v>
      </c>
      <c r="C912" s="1" t="s">
        <v>2922</v>
      </c>
      <c r="D912" s="1" t="s">
        <v>20</v>
      </c>
      <c r="E912" s="1" t="s">
        <v>2600</v>
      </c>
      <c r="F912" s="1" t="s">
        <v>22</v>
      </c>
      <c r="G912" s="1" t="s">
        <v>35</v>
      </c>
      <c r="H912" s="1" t="s">
        <v>55</v>
      </c>
      <c r="I912" s="1">
        <v>0</v>
      </c>
      <c r="J912" s="12">
        <f t="shared" si="28"/>
        <v>45305</v>
      </c>
      <c r="K912" s="14">
        <f t="shared" si="29"/>
        <v>1</v>
      </c>
      <c r="L912" s="13"/>
      <c r="M912" s="13"/>
    </row>
    <row r="913" spans="1:13" x14ac:dyDescent="0.25">
      <c r="A913" s="1" t="s">
        <v>2923</v>
      </c>
      <c r="B913" s="1" t="s">
        <v>2924</v>
      </c>
      <c r="C913" s="1" t="s">
        <v>2925</v>
      </c>
      <c r="D913" s="1" t="s">
        <v>45</v>
      </c>
      <c r="E913" s="1" t="s">
        <v>824</v>
      </c>
      <c r="F913" s="1" t="s">
        <v>14</v>
      </c>
      <c r="G913" s="1" t="s">
        <v>35</v>
      </c>
      <c r="H913" s="1" t="s">
        <v>30</v>
      </c>
      <c r="I913" s="1">
        <v>2946</v>
      </c>
      <c r="J913" s="12">
        <f t="shared" si="28"/>
        <v>45321</v>
      </c>
      <c r="K913" s="14">
        <f t="shared" si="29"/>
        <v>1</v>
      </c>
      <c r="L913" s="13"/>
      <c r="M913" s="13"/>
    </row>
    <row r="914" spans="1:13" x14ac:dyDescent="0.25">
      <c r="A914" s="1" t="s">
        <v>2926</v>
      </c>
      <c r="B914" s="1" t="s">
        <v>2927</v>
      </c>
      <c r="C914" s="1" t="s">
        <v>2928</v>
      </c>
      <c r="D914" s="1" t="s">
        <v>45</v>
      </c>
      <c r="E914" s="1" t="s">
        <v>2929</v>
      </c>
      <c r="F914" s="1" t="s">
        <v>29</v>
      </c>
      <c r="G914" s="1" t="s">
        <v>35</v>
      </c>
      <c r="H914" s="1" t="s">
        <v>24</v>
      </c>
      <c r="I914" s="1">
        <v>2115</v>
      </c>
      <c r="J914" s="12">
        <f t="shared" si="28"/>
        <v>45302</v>
      </c>
      <c r="K914" s="14">
        <f t="shared" si="29"/>
        <v>1</v>
      </c>
      <c r="L914" s="13"/>
      <c r="M914" s="13"/>
    </row>
    <row r="915" spans="1:13" x14ac:dyDescent="0.25">
      <c r="A915" s="1" t="s">
        <v>1592</v>
      </c>
      <c r="B915" s="1" t="s">
        <v>2930</v>
      </c>
      <c r="C915" s="1" t="s">
        <v>2931</v>
      </c>
      <c r="D915" s="1" t="s">
        <v>20</v>
      </c>
      <c r="E915" s="1" t="s">
        <v>1947</v>
      </c>
      <c r="F915" s="1" t="s">
        <v>29</v>
      </c>
      <c r="G915" s="1" t="s">
        <v>23</v>
      </c>
      <c r="H915" s="1" t="s">
        <v>30</v>
      </c>
      <c r="I915" s="1">
        <v>0</v>
      </c>
      <c r="J915" s="12">
        <f t="shared" si="28"/>
        <v>45297</v>
      </c>
      <c r="K915" s="14">
        <f t="shared" si="29"/>
        <v>1</v>
      </c>
      <c r="L915" s="13"/>
      <c r="M915" s="13"/>
    </row>
    <row r="916" spans="1:13" x14ac:dyDescent="0.25">
      <c r="A916" s="1" t="s">
        <v>2046</v>
      </c>
      <c r="B916" s="1" t="s">
        <v>375</v>
      </c>
      <c r="C916" s="1" t="s">
        <v>2932</v>
      </c>
      <c r="D916" s="1" t="s">
        <v>12</v>
      </c>
      <c r="E916" s="1" t="s">
        <v>775</v>
      </c>
      <c r="F916" s="1" t="s">
        <v>40</v>
      </c>
      <c r="G916" s="1" t="s">
        <v>23</v>
      </c>
      <c r="H916" s="1" t="s">
        <v>41</v>
      </c>
      <c r="I916" s="1">
        <v>0</v>
      </c>
      <c r="J916" s="12">
        <f t="shared" si="28"/>
        <v>45299</v>
      </c>
      <c r="K916" s="14">
        <f t="shared" si="29"/>
        <v>1</v>
      </c>
      <c r="L916" s="13"/>
      <c r="M916" s="13"/>
    </row>
    <row r="917" spans="1:13" x14ac:dyDescent="0.25">
      <c r="A917" s="1" t="s">
        <v>2933</v>
      </c>
      <c r="B917" s="1" t="s">
        <v>2934</v>
      </c>
      <c r="C917" s="1" t="s">
        <v>2935</v>
      </c>
      <c r="D917" s="1" t="s">
        <v>20</v>
      </c>
      <c r="E917" s="1" t="s">
        <v>1557</v>
      </c>
      <c r="F917" s="1" t="s">
        <v>75</v>
      </c>
      <c r="G917" s="1" t="s">
        <v>35</v>
      </c>
      <c r="H917" s="1" t="s">
        <v>16</v>
      </c>
      <c r="I917" s="1">
        <v>0</v>
      </c>
      <c r="J917" s="12">
        <f t="shared" si="28"/>
        <v>45299</v>
      </c>
      <c r="K917" s="14">
        <f t="shared" si="29"/>
        <v>1</v>
      </c>
      <c r="L917" s="13"/>
      <c r="M917" s="13"/>
    </row>
    <row r="918" spans="1:13" x14ac:dyDescent="0.25">
      <c r="A918" s="1" t="s">
        <v>2936</v>
      </c>
      <c r="B918" s="1" t="s">
        <v>2937</v>
      </c>
      <c r="C918" s="1" t="s">
        <v>2938</v>
      </c>
      <c r="D918" s="1" t="s">
        <v>20</v>
      </c>
      <c r="E918" s="1" t="s">
        <v>2939</v>
      </c>
      <c r="F918" s="1" t="s">
        <v>29</v>
      </c>
      <c r="G918" s="1" t="s">
        <v>15</v>
      </c>
      <c r="H918" s="1" t="s">
        <v>16</v>
      </c>
      <c r="I918" s="1">
        <v>0</v>
      </c>
      <c r="J918" s="12">
        <f t="shared" si="28"/>
        <v>45306</v>
      </c>
      <c r="K918" s="14">
        <f t="shared" si="29"/>
        <v>1</v>
      </c>
      <c r="L918" s="13"/>
      <c r="M918" s="13"/>
    </row>
    <row r="919" spans="1:13" x14ac:dyDescent="0.25">
      <c r="A919" s="1" t="s">
        <v>2940</v>
      </c>
      <c r="B919" s="1" t="s">
        <v>2941</v>
      </c>
      <c r="C919" s="1" t="s">
        <v>2942</v>
      </c>
      <c r="D919" s="1" t="s">
        <v>45</v>
      </c>
      <c r="E919" s="1" t="s">
        <v>2943</v>
      </c>
      <c r="F919" s="1" t="s">
        <v>40</v>
      </c>
      <c r="G919" s="1" t="s">
        <v>35</v>
      </c>
      <c r="H919" s="1" t="s">
        <v>24</v>
      </c>
      <c r="I919" s="1">
        <v>2478</v>
      </c>
      <c r="J919" s="12">
        <f t="shared" si="28"/>
        <v>45309</v>
      </c>
      <c r="K919" s="14">
        <f t="shared" si="29"/>
        <v>1</v>
      </c>
      <c r="L919" s="13"/>
      <c r="M919" s="13"/>
    </row>
    <row r="920" spans="1:13" x14ac:dyDescent="0.25">
      <c r="A920" s="1" t="s">
        <v>616</v>
      </c>
      <c r="B920" s="1" t="s">
        <v>2944</v>
      </c>
      <c r="C920" s="1" t="s">
        <v>2945</v>
      </c>
      <c r="D920" s="1" t="s">
        <v>20</v>
      </c>
      <c r="E920" s="1" t="s">
        <v>2946</v>
      </c>
      <c r="F920" s="1" t="s">
        <v>29</v>
      </c>
      <c r="G920" s="1" t="s">
        <v>35</v>
      </c>
      <c r="H920" s="1" t="s">
        <v>16</v>
      </c>
      <c r="I920" s="1">
        <v>0</v>
      </c>
      <c r="J920" s="12">
        <f t="shared" si="28"/>
        <v>45308</v>
      </c>
      <c r="K920" s="14">
        <f t="shared" si="29"/>
        <v>1</v>
      </c>
      <c r="L920" s="13"/>
      <c r="M920" s="13"/>
    </row>
    <row r="921" spans="1:13" x14ac:dyDescent="0.25">
      <c r="A921" s="1" t="s">
        <v>1802</v>
      </c>
      <c r="B921" s="1" t="s">
        <v>2947</v>
      </c>
      <c r="C921" s="1" t="s">
        <v>979</v>
      </c>
      <c r="D921" s="1" t="s">
        <v>45</v>
      </c>
      <c r="E921" s="1" t="s">
        <v>2781</v>
      </c>
      <c r="F921" s="1" t="s">
        <v>22</v>
      </c>
      <c r="G921" s="1" t="s">
        <v>15</v>
      </c>
      <c r="H921" s="1" t="s">
        <v>41</v>
      </c>
      <c r="I921" s="1">
        <v>3941</v>
      </c>
      <c r="J921" s="12">
        <f t="shared" si="28"/>
        <v>45319</v>
      </c>
      <c r="K921" s="14">
        <f t="shared" si="29"/>
        <v>1</v>
      </c>
      <c r="L921" s="13"/>
      <c r="M921" s="13"/>
    </row>
    <row r="922" spans="1:13" x14ac:dyDescent="0.25">
      <c r="A922" s="1" t="s">
        <v>2948</v>
      </c>
      <c r="B922" s="1" t="s">
        <v>2949</v>
      </c>
      <c r="C922" s="1" t="s">
        <v>2950</v>
      </c>
      <c r="D922" s="1" t="s">
        <v>12</v>
      </c>
      <c r="E922" s="1" t="s">
        <v>2951</v>
      </c>
      <c r="F922" s="1" t="s">
        <v>22</v>
      </c>
      <c r="G922" s="1" t="s">
        <v>23</v>
      </c>
      <c r="H922" s="1" t="s">
        <v>24</v>
      </c>
      <c r="I922" s="1">
        <v>0</v>
      </c>
      <c r="J922" s="12">
        <f t="shared" si="28"/>
        <v>45317</v>
      </c>
      <c r="K922" s="14">
        <f t="shared" si="29"/>
        <v>1</v>
      </c>
      <c r="L922" s="13"/>
      <c r="M922" s="13"/>
    </row>
    <row r="923" spans="1:13" x14ac:dyDescent="0.25">
      <c r="A923" s="1" t="s">
        <v>2156</v>
      </c>
      <c r="B923" s="1" t="s">
        <v>2952</v>
      </c>
      <c r="C923" s="1" t="s">
        <v>2953</v>
      </c>
      <c r="D923" s="1" t="s">
        <v>12</v>
      </c>
      <c r="E923" s="1" t="s">
        <v>593</v>
      </c>
      <c r="F923" s="1" t="s">
        <v>29</v>
      </c>
      <c r="G923" s="1" t="s">
        <v>15</v>
      </c>
      <c r="H923" s="1" t="s">
        <v>30</v>
      </c>
      <c r="I923" s="1">
        <v>0</v>
      </c>
      <c r="J923" s="12">
        <f t="shared" si="28"/>
        <v>45317</v>
      </c>
      <c r="K923" s="14">
        <f t="shared" si="29"/>
        <v>1</v>
      </c>
      <c r="L923" s="13"/>
      <c r="M923" s="13"/>
    </row>
    <row r="924" spans="1:13" x14ac:dyDescent="0.25">
      <c r="A924" s="1" t="s">
        <v>2742</v>
      </c>
      <c r="B924" s="1" t="s">
        <v>2954</v>
      </c>
      <c r="C924" s="1" t="s">
        <v>2955</v>
      </c>
      <c r="D924" s="1" t="s">
        <v>20</v>
      </c>
      <c r="E924" s="1" t="s">
        <v>2956</v>
      </c>
      <c r="F924" s="1" t="s">
        <v>29</v>
      </c>
      <c r="G924" s="1" t="s">
        <v>35</v>
      </c>
      <c r="H924" s="1" t="s">
        <v>30</v>
      </c>
      <c r="I924" s="1">
        <v>0</v>
      </c>
      <c r="J924" s="12">
        <f t="shared" si="28"/>
        <v>45306</v>
      </c>
      <c r="K924" s="14">
        <f t="shared" si="29"/>
        <v>1</v>
      </c>
      <c r="L924" s="13"/>
      <c r="M924" s="13"/>
    </row>
    <row r="925" spans="1:13" x14ac:dyDescent="0.25">
      <c r="A925" s="1" t="s">
        <v>2388</v>
      </c>
      <c r="B925" s="1" t="s">
        <v>2957</v>
      </c>
      <c r="C925" s="1" t="s">
        <v>2958</v>
      </c>
      <c r="D925" s="1" t="s">
        <v>12</v>
      </c>
      <c r="E925" s="1" t="s">
        <v>1776</v>
      </c>
      <c r="F925" s="1" t="s">
        <v>14</v>
      </c>
      <c r="G925" s="1" t="s">
        <v>23</v>
      </c>
      <c r="H925" s="1" t="s">
        <v>16</v>
      </c>
      <c r="I925" s="1">
        <v>0</v>
      </c>
      <c r="J925" s="12">
        <f t="shared" si="28"/>
        <v>45302</v>
      </c>
      <c r="K925" s="14">
        <f t="shared" si="29"/>
        <v>1</v>
      </c>
      <c r="L925" s="13"/>
      <c r="M925" s="13"/>
    </row>
    <row r="926" spans="1:13" x14ac:dyDescent="0.25">
      <c r="A926" s="1" t="s">
        <v>2202</v>
      </c>
      <c r="B926" s="1" t="s">
        <v>2959</v>
      </c>
      <c r="C926" s="1" t="s">
        <v>2960</v>
      </c>
      <c r="D926" s="1" t="s">
        <v>12</v>
      </c>
      <c r="E926" s="1" t="s">
        <v>1352</v>
      </c>
      <c r="F926" s="1" t="s">
        <v>75</v>
      </c>
      <c r="G926" s="1" t="s">
        <v>35</v>
      </c>
      <c r="H926" s="1" t="s">
        <v>16</v>
      </c>
      <c r="I926" s="1">
        <v>0</v>
      </c>
      <c r="J926" s="12">
        <f t="shared" si="28"/>
        <v>45313</v>
      </c>
      <c r="K926" s="14">
        <f t="shared" si="29"/>
        <v>1</v>
      </c>
      <c r="L926" s="13"/>
      <c r="M926" s="13"/>
    </row>
    <row r="927" spans="1:13" x14ac:dyDescent="0.25">
      <c r="A927" s="1" t="s">
        <v>2708</v>
      </c>
      <c r="B927" s="1" t="s">
        <v>2961</v>
      </c>
      <c r="C927" s="1" t="s">
        <v>2962</v>
      </c>
      <c r="D927" s="1" t="s">
        <v>12</v>
      </c>
      <c r="E927" s="1" t="s">
        <v>122</v>
      </c>
      <c r="F927" s="1" t="s">
        <v>14</v>
      </c>
      <c r="G927" s="1" t="s">
        <v>15</v>
      </c>
      <c r="H927" s="1" t="s">
        <v>16</v>
      </c>
      <c r="I927" s="1">
        <v>0</v>
      </c>
      <c r="J927" s="12">
        <f t="shared" si="28"/>
        <v>45306</v>
      </c>
      <c r="K927" s="14">
        <f t="shared" si="29"/>
        <v>1</v>
      </c>
      <c r="L927" s="13"/>
      <c r="M927" s="13"/>
    </row>
    <row r="928" spans="1:13" x14ac:dyDescent="0.25">
      <c r="A928" s="1" t="s">
        <v>2963</v>
      </c>
      <c r="B928" s="1" t="s">
        <v>562</v>
      </c>
      <c r="C928" s="1" t="s">
        <v>2964</v>
      </c>
      <c r="D928" s="1" t="s">
        <v>12</v>
      </c>
      <c r="E928" s="1" t="s">
        <v>1128</v>
      </c>
      <c r="F928" s="1" t="s">
        <v>29</v>
      </c>
      <c r="G928" s="1" t="s">
        <v>15</v>
      </c>
      <c r="H928" s="1" t="s">
        <v>24</v>
      </c>
      <c r="I928" s="1">
        <v>0</v>
      </c>
      <c r="J928" s="12">
        <f t="shared" si="28"/>
        <v>45294</v>
      </c>
      <c r="K928" s="14">
        <f t="shared" si="29"/>
        <v>1</v>
      </c>
      <c r="L928" s="13"/>
      <c r="M928" s="13"/>
    </row>
    <row r="929" spans="1:13" x14ac:dyDescent="0.25">
      <c r="A929" s="1" t="s">
        <v>1864</v>
      </c>
      <c r="B929" s="1" t="s">
        <v>2965</v>
      </c>
      <c r="C929" s="1" t="s">
        <v>2966</v>
      </c>
      <c r="D929" s="1" t="s">
        <v>20</v>
      </c>
      <c r="E929" s="1" t="s">
        <v>2967</v>
      </c>
      <c r="F929" s="1" t="s">
        <v>22</v>
      </c>
      <c r="G929" s="1" t="s">
        <v>23</v>
      </c>
      <c r="H929" s="1" t="s">
        <v>30</v>
      </c>
      <c r="I929" s="1">
        <v>0</v>
      </c>
      <c r="J929" s="12">
        <f t="shared" si="28"/>
        <v>45297</v>
      </c>
      <c r="K929" s="14">
        <f t="shared" si="29"/>
        <v>1</v>
      </c>
      <c r="L929" s="13"/>
      <c r="M929" s="13"/>
    </row>
    <row r="930" spans="1:13" x14ac:dyDescent="0.25">
      <c r="A930" s="1" t="s">
        <v>904</v>
      </c>
      <c r="B930" s="1" t="s">
        <v>1696</v>
      </c>
      <c r="C930" s="1" t="s">
        <v>2968</v>
      </c>
      <c r="D930" s="1" t="s">
        <v>20</v>
      </c>
      <c r="E930" s="1" t="s">
        <v>146</v>
      </c>
      <c r="F930" s="1" t="s">
        <v>14</v>
      </c>
      <c r="G930" s="1" t="s">
        <v>23</v>
      </c>
      <c r="H930" s="1" t="s">
        <v>30</v>
      </c>
      <c r="I930" s="1">
        <v>0</v>
      </c>
      <c r="J930" s="12">
        <f t="shared" si="28"/>
        <v>45308</v>
      </c>
      <c r="K930" s="14">
        <f t="shared" si="29"/>
        <v>1</v>
      </c>
      <c r="L930" s="13"/>
      <c r="M930" s="13"/>
    </row>
    <row r="931" spans="1:13" x14ac:dyDescent="0.25">
      <c r="A931" s="1" t="s">
        <v>2969</v>
      </c>
      <c r="B931" s="1" t="s">
        <v>2970</v>
      </c>
      <c r="C931" s="1" t="s">
        <v>2971</v>
      </c>
      <c r="D931" s="1" t="s">
        <v>20</v>
      </c>
      <c r="E931" s="1" t="s">
        <v>2972</v>
      </c>
      <c r="F931" s="1" t="s">
        <v>14</v>
      </c>
      <c r="G931" s="1" t="s">
        <v>15</v>
      </c>
      <c r="H931" s="1" t="s">
        <v>30</v>
      </c>
      <c r="I931" s="1">
        <v>0</v>
      </c>
      <c r="J931" s="12">
        <f t="shared" si="28"/>
        <v>45300</v>
      </c>
      <c r="K931" s="14">
        <f t="shared" si="29"/>
        <v>1</v>
      </c>
      <c r="L931" s="13"/>
      <c r="M931" s="13"/>
    </row>
    <row r="932" spans="1:13" x14ac:dyDescent="0.25">
      <c r="A932" s="1" t="s">
        <v>2052</v>
      </c>
      <c r="B932" s="1" t="s">
        <v>2973</v>
      </c>
      <c r="C932" s="1" t="s">
        <v>2974</v>
      </c>
      <c r="D932" s="1" t="s">
        <v>12</v>
      </c>
      <c r="E932" s="1" t="s">
        <v>726</v>
      </c>
      <c r="F932" s="1" t="s">
        <v>40</v>
      </c>
      <c r="G932" s="1" t="s">
        <v>35</v>
      </c>
      <c r="H932" s="1" t="s">
        <v>55</v>
      </c>
      <c r="I932" s="1">
        <v>0</v>
      </c>
      <c r="J932" s="12">
        <f t="shared" si="28"/>
        <v>45298</v>
      </c>
      <c r="K932" s="14">
        <f t="shared" si="29"/>
        <v>1</v>
      </c>
      <c r="L932" s="13"/>
      <c r="M932" s="13"/>
    </row>
    <row r="933" spans="1:13" x14ac:dyDescent="0.25">
      <c r="A933" s="1" t="s">
        <v>1999</v>
      </c>
      <c r="B933" s="1" t="s">
        <v>2975</v>
      </c>
      <c r="C933" s="1" t="s">
        <v>2976</v>
      </c>
      <c r="D933" s="1" t="s">
        <v>12</v>
      </c>
      <c r="E933" s="1" t="s">
        <v>2977</v>
      </c>
      <c r="F933" s="1" t="s">
        <v>29</v>
      </c>
      <c r="G933" s="1" t="s">
        <v>15</v>
      </c>
      <c r="H933" s="1" t="s">
        <v>30</v>
      </c>
      <c r="I933" s="1">
        <v>0</v>
      </c>
      <c r="J933" s="12">
        <f t="shared" si="28"/>
        <v>45309</v>
      </c>
      <c r="K933" s="14">
        <f t="shared" si="29"/>
        <v>1</v>
      </c>
      <c r="L933" s="13"/>
      <c r="M933" s="13"/>
    </row>
    <row r="934" spans="1:13" x14ac:dyDescent="0.25">
      <c r="A934" s="1" t="s">
        <v>2735</v>
      </c>
      <c r="B934" s="1" t="s">
        <v>2978</v>
      </c>
      <c r="C934" s="1" t="s">
        <v>2979</v>
      </c>
      <c r="D934" s="1" t="s">
        <v>20</v>
      </c>
      <c r="E934" s="1" t="s">
        <v>1208</v>
      </c>
      <c r="F934" s="1" t="s">
        <v>22</v>
      </c>
      <c r="G934" s="1" t="s">
        <v>23</v>
      </c>
      <c r="H934" s="1" t="s">
        <v>55</v>
      </c>
      <c r="I934" s="1">
        <v>0</v>
      </c>
      <c r="J934" s="12">
        <f t="shared" si="28"/>
        <v>45309</v>
      </c>
      <c r="K934" s="14">
        <f t="shared" si="29"/>
        <v>1</v>
      </c>
      <c r="L934" s="13"/>
      <c r="M934" s="13"/>
    </row>
    <row r="935" spans="1:13" x14ac:dyDescent="0.25">
      <c r="A935" s="1" t="s">
        <v>2488</v>
      </c>
      <c r="B935" s="1" t="s">
        <v>2980</v>
      </c>
      <c r="C935" s="1" t="s">
        <v>2981</v>
      </c>
      <c r="D935" s="1" t="s">
        <v>45</v>
      </c>
      <c r="E935" s="1" t="s">
        <v>1483</v>
      </c>
      <c r="F935" s="1" t="s">
        <v>75</v>
      </c>
      <c r="G935" s="1" t="s">
        <v>23</v>
      </c>
      <c r="H935" s="1" t="s">
        <v>41</v>
      </c>
      <c r="I935" s="1">
        <v>3016</v>
      </c>
      <c r="J935" s="12">
        <f t="shared" si="28"/>
        <v>45315</v>
      </c>
      <c r="K935" s="14">
        <f t="shared" si="29"/>
        <v>1</v>
      </c>
      <c r="L935" s="13"/>
      <c r="M935" s="13"/>
    </row>
    <row r="936" spans="1:13" x14ac:dyDescent="0.25">
      <c r="A936" s="1" t="s">
        <v>2574</v>
      </c>
      <c r="B936" s="1" t="s">
        <v>2982</v>
      </c>
      <c r="C936" s="1" t="s">
        <v>2983</v>
      </c>
      <c r="D936" s="1" t="s">
        <v>45</v>
      </c>
      <c r="E936" s="1" t="s">
        <v>2984</v>
      </c>
      <c r="F936" s="1" t="s">
        <v>29</v>
      </c>
      <c r="G936" s="1" t="s">
        <v>35</v>
      </c>
      <c r="H936" s="1" t="s">
        <v>55</v>
      </c>
      <c r="I936" s="1">
        <v>4977</v>
      </c>
      <c r="J936" s="12">
        <f t="shared" si="28"/>
        <v>45292</v>
      </c>
      <c r="K936" s="14">
        <f t="shared" si="29"/>
        <v>1</v>
      </c>
      <c r="L936" s="13"/>
      <c r="M936" s="13"/>
    </row>
    <row r="937" spans="1:13" x14ac:dyDescent="0.25">
      <c r="A937" s="1" t="s">
        <v>135</v>
      </c>
      <c r="B937" s="1" t="s">
        <v>2985</v>
      </c>
      <c r="C937" s="1" t="s">
        <v>2986</v>
      </c>
      <c r="D937" s="1" t="s">
        <v>20</v>
      </c>
      <c r="E937" s="1" t="s">
        <v>2987</v>
      </c>
      <c r="F937" s="1" t="s">
        <v>75</v>
      </c>
      <c r="G937" s="1" t="s">
        <v>35</v>
      </c>
      <c r="H937" s="1" t="s">
        <v>55</v>
      </c>
      <c r="I937" s="1">
        <v>0</v>
      </c>
      <c r="J937" s="12">
        <f t="shared" si="28"/>
        <v>45302</v>
      </c>
      <c r="K937" s="14">
        <f t="shared" si="29"/>
        <v>1</v>
      </c>
      <c r="L937" s="13"/>
      <c r="M937" s="13"/>
    </row>
    <row r="938" spans="1:13" x14ac:dyDescent="0.25">
      <c r="A938" s="1" t="s">
        <v>2988</v>
      </c>
      <c r="B938" s="1" t="s">
        <v>2989</v>
      </c>
      <c r="C938" s="1" t="s">
        <v>2990</v>
      </c>
      <c r="D938" s="1" t="s">
        <v>20</v>
      </c>
      <c r="E938" s="1" t="s">
        <v>2851</v>
      </c>
      <c r="F938" s="1" t="s">
        <v>29</v>
      </c>
      <c r="G938" s="1" t="s">
        <v>15</v>
      </c>
      <c r="H938" s="1" t="s">
        <v>41</v>
      </c>
      <c r="I938" s="1">
        <v>0</v>
      </c>
      <c r="J938" s="12">
        <f t="shared" si="28"/>
        <v>45297</v>
      </c>
      <c r="K938" s="14">
        <f t="shared" si="29"/>
        <v>1</v>
      </c>
      <c r="L938" s="13"/>
      <c r="M938" s="13"/>
    </row>
    <row r="939" spans="1:13" x14ac:dyDescent="0.25">
      <c r="A939" s="1" t="s">
        <v>2991</v>
      </c>
      <c r="B939" s="1" t="s">
        <v>1578</v>
      </c>
      <c r="C939" s="1" t="s">
        <v>2992</v>
      </c>
      <c r="D939" s="1" t="s">
        <v>12</v>
      </c>
      <c r="E939" s="1" t="s">
        <v>1757</v>
      </c>
      <c r="F939" s="1" t="s">
        <v>40</v>
      </c>
      <c r="G939" s="1" t="s">
        <v>35</v>
      </c>
      <c r="H939" s="1" t="s">
        <v>16</v>
      </c>
      <c r="I939" s="1">
        <v>0</v>
      </c>
      <c r="J939" s="12">
        <f t="shared" si="28"/>
        <v>45312</v>
      </c>
      <c r="K939" s="14">
        <f t="shared" si="29"/>
        <v>1</v>
      </c>
      <c r="L939" s="13"/>
      <c r="M939" s="13"/>
    </row>
    <row r="940" spans="1:13" x14ac:dyDescent="0.25">
      <c r="A940" s="1" t="s">
        <v>2993</v>
      </c>
      <c r="B940" s="1" t="s">
        <v>2994</v>
      </c>
      <c r="C940" s="1" t="s">
        <v>2995</v>
      </c>
      <c r="D940" s="1" t="s">
        <v>45</v>
      </c>
      <c r="E940" s="1" t="s">
        <v>481</v>
      </c>
      <c r="F940" s="1" t="s">
        <v>22</v>
      </c>
      <c r="G940" s="1" t="s">
        <v>15</v>
      </c>
      <c r="H940" s="1" t="s">
        <v>24</v>
      </c>
      <c r="I940" s="1">
        <v>4569</v>
      </c>
      <c r="J940" s="12">
        <f t="shared" si="28"/>
        <v>45322</v>
      </c>
      <c r="K940" s="14">
        <f t="shared" si="29"/>
        <v>1</v>
      </c>
      <c r="L940" s="13"/>
      <c r="M940" s="13"/>
    </row>
    <row r="941" spans="1:13" x14ac:dyDescent="0.25">
      <c r="A941" s="1" t="s">
        <v>1448</v>
      </c>
      <c r="B941" s="1" t="s">
        <v>2996</v>
      </c>
      <c r="C941" s="1" t="s">
        <v>2997</v>
      </c>
      <c r="D941" s="1" t="s">
        <v>12</v>
      </c>
      <c r="E941" s="1" t="s">
        <v>197</v>
      </c>
      <c r="F941" s="1" t="s">
        <v>75</v>
      </c>
      <c r="G941" s="1" t="s">
        <v>35</v>
      </c>
      <c r="H941" s="1" t="s">
        <v>41</v>
      </c>
      <c r="I941" s="1">
        <v>0</v>
      </c>
      <c r="J941" s="12">
        <f t="shared" si="28"/>
        <v>45305</v>
      </c>
      <c r="K941" s="14">
        <f t="shared" si="29"/>
        <v>1</v>
      </c>
      <c r="L941" s="13"/>
      <c r="M941" s="13"/>
    </row>
    <row r="942" spans="1:13" x14ac:dyDescent="0.25">
      <c r="A942" s="1" t="s">
        <v>1181</v>
      </c>
      <c r="B942" s="1" t="s">
        <v>2998</v>
      </c>
      <c r="C942" s="1" t="s">
        <v>2999</v>
      </c>
      <c r="D942" s="1" t="s">
        <v>45</v>
      </c>
      <c r="E942" s="1" t="s">
        <v>3000</v>
      </c>
      <c r="F942" s="1" t="s">
        <v>40</v>
      </c>
      <c r="G942" s="1" t="s">
        <v>23</v>
      </c>
      <c r="H942" s="1" t="s">
        <v>30</v>
      </c>
      <c r="I942" s="1">
        <v>4472</v>
      </c>
      <c r="J942" s="12">
        <f t="shared" si="28"/>
        <v>45294</v>
      </c>
      <c r="K942" s="14">
        <f t="shared" si="29"/>
        <v>1</v>
      </c>
      <c r="L942" s="13"/>
      <c r="M942" s="13"/>
    </row>
    <row r="943" spans="1:13" x14ac:dyDescent="0.25">
      <c r="A943" s="1" t="s">
        <v>962</v>
      </c>
      <c r="B943" s="1" t="s">
        <v>3001</v>
      </c>
      <c r="C943" s="1" t="s">
        <v>3002</v>
      </c>
      <c r="D943" s="1" t="s">
        <v>12</v>
      </c>
      <c r="E943" s="1" t="s">
        <v>763</v>
      </c>
      <c r="F943" s="1" t="s">
        <v>75</v>
      </c>
      <c r="G943" s="1" t="s">
        <v>35</v>
      </c>
      <c r="H943" s="1" t="s">
        <v>55</v>
      </c>
      <c r="I943" s="1">
        <v>0</v>
      </c>
      <c r="J943" s="12">
        <f t="shared" si="28"/>
        <v>45293</v>
      </c>
      <c r="K943" s="14">
        <f t="shared" si="29"/>
        <v>1</v>
      </c>
      <c r="L943" s="13"/>
      <c r="M943" s="13"/>
    </row>
    <row r="944" spans="1:13" x14ac:dyDescent="0.25">
      <c r="A944" s="1" t="s">
        <v>974</v>
      </c>
      <c r="B944" s="1" t="s">
        <v>2372</v>
      </c>
      <c r="C944" s="1" t="s">
        <v>3003</v>
      </c>
      <c r="D944" s="1" t="s">
        <v>12</v>
      </c>
      <c r="E944" s="1" t="s">
        <v>432</v>
      </c>
      <c r="F944" s="1" t="s">
        <v>29</v>
      </c>
      <c r="G944" s="1" t="s">
        <v>35</v>
      </c>
      <c r="H944" s="1" t="s">
        <v>41</v>
      </c>
      <c r="I944" s="1">
        <v>0</v>
      </c>
      <c r="J944" s="12">
        <f t="shared" si="28"/>
        <v>45303</v>
      </c>
      <c r="K944" s="14">
        <f t="shared" si="29"/>
        <v>1</v>
      </c>
      <c r="L944" s="13"/>
      <c r="M944" s="13"/>
    </row>
    <row r="945" spans="1:13" x14ac:dyDescent="0.25">
      <c r="A945" s="1" t="s">
        <v>412</v>
      </c>
      <c r="B945" s="1" t="s">
        <v>3004</v>
      </c>
      <c r="C945" s="1" t="s">
        <v>3005</v>
      </c>
      <c r="D945" s="1" t="s">
        <v>20</v>
      </c>
      <c r="E945" s="1" t="s">
        <v>2725</v>
      </c>
      <c r="F945" s="1" t="s">
        <v>40</v>
      </c>
      <c r="G945" s="1" t="s">
        <v>15</v>
      </c>
      <c r="H945" s="1" t="s">
        <v>41</v>
      </c>
      <c r="I945" s="1">
        <v>0</v>
      </c>
      <c r="J945" s="12">
        <f t="shared" si="28"/>
        <v>45294</v>
      </c>
      <c r="K945" s="14">
        <f t="shared" si="29"/>
        <v>1</v>
      </c>
      <c r="L945" s="13"/>
      <c r="M945" s="13"/>
    </row>
    <row r="946" spans="1:13" x14ac:dyDescent="0.25">
      <c r="A946" s="1" t="s">
        <v>977</v>
      </c>
      <c r="B946" s="1" t="s">
        <v>2007</v>
      </c>
      <c r="C946" s="1" t="s">
        <v>3006</v>
      </c>
      <c r="D946" s="1" t="s">
        <v>12</v>
      </c>
      <c r="E946" s="1" t="s">
        <v>523</v>
      </c>
      <c r="F946" s="1" t="s">
        <v>75</v>
      </c>
      <c r="G946" s="1" t="s">
        <v>23</v>
      </c>
      <c r="H946" s="1" t="s">
        <v>30</v>
      </c>
      <c r="I946" s="1">
        <v>0</v>
      </c>
      <c r="J946" s="12">
        <f t="shared" si="28"/>
        <v>45320</v>
      </c>
      <c r="K946" s="14">
        <f t="shared" si="29"/>
        <v>1</v>
      </c>
      <c r="L946" s="13"/>
      <c r="M946" s="13"/>
    </row>
    <row r="947" spans="1:13" x14ac:dyDescent="0.25">
      <c r="A947" s="1" t="s">
        <v>2863</v>
      </c>
      <c r="B947" s="1" t="s">
        <v>3007</v>
      </c>
      <c r="C947" s="1" t="s">
        <v>3008</v>
      </c>
      <c r="D947" s="1" t="s">
        <v>20</v>
      </c>
      <c r="E947" s="1" t="s">
        <v>775</v>
      </c>
      <c r="F947" s="1" t="s">
        <v>40</v>
      </c>
      <c r="G947" s="1" t="s">
        <v>35</v>
      </c>
      <c r="H947" s="1" t="s">
        <v>16</v>
      </c>
      <c r="I947" s="1">
        <v>0</v>
      </c>
      <c r="J947" s="12">
        <f t="shared" si="28"/>
        <v>45306</v>
      </c>
      <c r="K947" s="14">
        <f t="shared" si="29"/>
        <v>1</v>
      </c>
      <c r="L947" s="13"/>
      <c r="M947" s="13"/>
    </row>
    <row r="948" spans="1:13" x14ac:dyDescent="0.25">
      <c r="A948" s="1" t="s">
        <v>2848</v>
      </c>
      <c r="B948" s="1" t="s">
        <v>2670</v>
      </c>
      <c r="C948" s="1" t="s">
        <v>3009</v>
      </c>
      <c r="D948" s="1" t="s">
        <v>45</v>
      </c>
      <c r="E948" s="1" t="s">
        <v>2615</v>
      </c>
      <c r="F948" s="1" t="s">
        <v>29</v>
      </c>
      <c r="G948" s="1" t="s">
        <v>35</v>
      </c>
      <c r="H948" s="1" t="s">
        <v>24</v>
      </c>
      <c r="I948" s="1">
        <v>1701</v>
      </c>
      <c r="J948" s="12">
        <f t="shared" si="28"/>
        <v>45300</v>
      </c>
      <c r="K948" s="14">
        <f t="shared" si="29"/>
        <v>1</v>
      </c>
      <c r="L948" s="13"/>
      <c r="M948" s="13"/>
    </row>
    <row r="949" spans="1:13" x14ac:dyDescent="0.25">
      <c r="A949" s="1" t="s">
        <v>598</v>
      </c>
      <c r="B949" s="1" t="s">
        <v>3010</v>
      </c>
      <c r="C949" s="1" t="s">
        <v>3011</v>
      </c>
      <c r="D949" s="1" t="s">
        <v>45</v>
      </c>
      <c r="E949" s="1" t="s">
        <v>1790</v>
      </c>
      <c r="F949" s="1" t="s">
        <v>29</v>
      </c>
      <c r="G949" s="1" t="s">
        <v>35</v>
      </c>
      <c r="H949" s="1" t="s">
        <v>55</v>
      </c>
      <c r="I949" s="1">
        <v>707</v>
      </c>
      <c r="J949" s="12">
        <f t="shared" si="28"/>
        <v>45325</v>
      </c>
      <c r="K949" s="14">
        <f t="shared" si="29"/>
        <v>2</v>
      </c>
      <c r="L949" s="13"/>
      <c r="M949" s="13"/>
    </row>
    <row r="950" spans="1:13" x14ac:dyDescent="0.25">
      <c r="A950" s="1" t="s">
        <v>3012</v>
      </c>
      <c r="B950" s="1" t="s">
        <v>3013</v>
      </c>
      <c r="C950" s="1" t="s">
        <v>3014</v>
      </c>
      <c r="D950" s="1" t="s">
        <v>20</v>
      </c>
      <c r="E950" s="1" t="s">
        <v>841</v>
      </c>
      <c r="F950" s="1" t="s">
        <v>14</v>
      </c>
      <c r="G950" s="1" t="s">
        <v>35</v>
      </c>
      <c r="H950" s="1" t="s">
        <v>30</v>
      </c>
      <c r="I950" s="1">
        <v>0</v>
      </c>
      <c r="J950" s="12">
        <f t="shared" si="28"/>
        <v>45299</v>
      </c>
      <c r="K950" s="14">
        <f t="shared" si="29"/>
        <v>1</v>
      </c>
      <c r="L950" s="13"/>
      <c r="M950" s="13"/>
    </row>
    <row r="951" spans="1:13" x14ac:dyDescent="0.25">
      <c r="A951" s="1" t="s">
        <v>571</v>
      </c>
      <c r="B951" s="1" t="s">
        <v>1210</v>
      </c>
      <c r="C951" s="1" t="s">
        <v>3015</v>
      </c>
      <c r="D951" s="1" t="s">
        <v>12</v>
      </c>
      <c r="E951" s="1" t="s">
        <v>3016</v>
      </c>
      <c r="F951" s="1" t="s">
        <v>29</v>
      </c>
      <c r="G951" s="1" t="s">
        <v>23</v>
      </c>
      <c r="H951" s="1" t="s">
        <v>55</v>
      </c>
      <c r="I951" s="1">
        <v>0</v>
      </c>
      <c r="J951" s="12">
        <f t="shared" si="28"/>
        <v>45313</v>
      </c>
      <c r="K951" s="14">
        <f t="shared" si="29"/>
        <v>1</v>
      </c>
      <c r="L951" s="13"/>
      <c r="M951" s="13"/>
    </row>
    <row r="952" spans="1:13" x14ac:dyDescent="0.25">
      <c r="A952" s="1" t="s">
        <v>3017</v>
      </c>
      <c r="B952" s="1" t="s">
        <v>3018</v>
      </c>
      <c r="C952" s="1" t="s">
        <v>224</v>
      </c>
      <c r="D952" s="1" t="s">
        <v>45</v>
      </c>
      <c r="E952" s="1" t="s">
        <v>2676</v>
      </c>
      <c r="F952" s="1" t="s">
        <v>40</v>
      </c>
      <c r="G952" s="1" t="s">
        <v>35</v>
      </c>
      <c r="H952" s="1" t="s">
        <v>55</v>
      </c>
      <c r="I952" s="1">
        <v>2287</v>
      </c>
      <c r="J952" s="12">
        <f t="shared" si="28"/>
        <v>45316</v>
      </c>
      <c r="K952" s="14">
        <f t="shared" si="29"/>
        <v>1</v>
      </c>
      <c r="L952" s="13"/>
      <c r="M952" s="13"/>
    </row>
    <row r="953" spans="1:13" x14ac:dyDescent="0.25">
      <c r="A953" s="1" t="s">
        <v>1392</v>
      </c>
      <c r="B953" s="1" t="s">
        <v>3019</v>
      </c>
      <c r="C953" s="1" t="s">
        <v>3020</v>
      </c>
      <c r="D953" s="1" t="s">
        <v>45</v>
      </c>
      <c r="E953" s="1" t="s">
        <v>1132</v>
      </c>
      <c r="F953" s="1" t="s">
        <v>14</v>
      </c>
      <c r="G953" s="1" t="s">
        <v>15</v>
      </c>
      <c r="H953" s="1" t="s">
        <v>55</v>
      </c>
      <c r="I953" s="1">
        <v>995</v>
      </c>
      <c r="J953" s="12">
        <f t="shared" si="28"/>
        <v>45295</v>
      </c>
      <c r="K953" s="14">
        <f t="shared" si="29"/>
        <v>1</v>
      </c>
      <c r="L953" s="13"/>
      <c r="M953" s="13"/>
    </row>
    <row r="954" spans="1:13" x14ac:dyDescent="0.25">
      <c r="A954" s="1" t="s">
        <v>3021</v>
      </c>
      <c r="B954" s="1" t="s">
        <v>3022</v>
      </c>
      <c r="C954" s="1" t="s">
        <v>3023</v>
      </c>
      <c r="D954" s="1" t="s">
        <v>20</v>
      </c>
      <c r="E954" s="1" t="s">
        <v>1595</v>
      </c>
      <c r="F954" s="1" t="s">
        <v>75</v>
      </c>
      <c r="G954" s="1" t="s">
        <v>35</v>
      </c>
      <c r="H954" s="1" t="s">
        <v>55</v>
      </c>
      <c r="I954" s="1">
        <v>0</v>
      </c>
      <c r="J954" s="12">
        <f t="shared" si="28"/>
        <v>45325</v>
      </c>
      <c r="K954" s="14">
        <f t="shared" si="29"/>
        <v>2</v>
      </c>
      <c r="L954" s="13"/>
      <c r="M954" s="13"/>
    </row>
    <row r="955" spans="1:13" x14ac:dyDescent="0.25">
      <c r="A955" s="1" t="s">
        <v>3024</v>
      </c>
      <c r="B955" s="1" t="s">
        <v>3025</v>
      </c>
      <c r="C955" s="1" t="s">
        <v>3026</v>
      </c>
      <c r="D955" s="1" t="s">
        <v>45</v>
      </c>
      <c r="E955" s="1" t="s">
        <v>3027</v>
      </c>
      <c r="F955" s="1" t="s">
        <v>40</v>
      </c>
      <c r="G955" s="1" t="s">
        <v>35</v>
      </c>
      <c r="H955" s="1" t="s">
        <v>41</v>
      </c>
      <c r="I955" s="1">
        <v>2349</v>
      </c>
      <c r="J955" s="12">
        <f t="shared" si="28"/>
        <v>45296</v>
      </c>
      <c r="K955" s="14">
        <f t="shared" si="29"/>
        <v>1</v>
      </c>
      <c r="L955" s="13"/>
      <c r="M955" s="13"/>
    </row>
    <row r="956" spans="1:13" x14ac:dyDescent="0.25">
      <c r="A956" s="1" t="s">
        <v>88</v>
      </c>
      <c r="B956" s="1" t="s">
        <v>3028</v>
      </c>
      <c r="C956" s="1" t="s">
        <v>3029</v>
      </c>
      <c r="D956" s="1" t="s">
        <v>12</v>
      </c>
      <c r="E956" s="1" t="s">
        <v>714</v>
      </c>
      <c r="F956" s="1" t="s">
        <v>75</v>
      </c>
      <c r="G956" s="1" t="s">
        <v>35</v>
      </c>
      <c r="H956" s="1" t="s">
        <v>16</v>
      </c>
      <c r="I956" s="1">
        <v>0</v>
      </c>
      <c r="J956" s="12">
        <f t="shared" si="28"/>
        <v>45307</v>
      </c>
      <c r="K956" s="14">
        <f t="shared" si="29"/>
        <v>1</v>
      </c>
      <c r="L956" s="13"/>
      <c r="M956" s="13"/>
    </row>
    <row r="957" spans="1:13" x14ac:dyDescent="0.25">
      <c r="A957" s="1" t="s">
        <v>2304</v>
      </c>
      <c r="B957" s="1" t="s">
        <v>3030</v>
      </c>
      <c r="C957" s="1" t="s">
        <v>3031</v>
      </c>
      <c r="D957" s="1" t="s">
        <v>20</v>
      </c>
      <c r="E957" s="1" t="s">
        <v>419</v>
      </c>
      <c r="F957" s="1" t="s">
        <v>14</v>
      </c>
      <c r="G957" s="1" t="s">
        <v>23</v>
      </c>
      <c r="H957" s="1" t="s">
        <v>16</v>
      </c>
      <c r="I957" s="1">
        <v>0</v>
      </c>
      <c r="J957" s="12">
        <f t="shared" si="28"/>
        <v>45300</v>
      </c>
      <c r="K957" s="14">
        <f t="shared" si="29"/>
        <v>1</v>
      </c>
      <c r="L957" s="13"/>
      <c r="M957" s="13"/>
    </row>
    <row r="958" spans="1:13" x14ac:dyDescent="0.25">
      <c r="A958" s="1" t="s">
        <v>2963</v>
      </c>
      <c r="B958" s="1" t="s">
        <v>3032</v>
      </c>
      <c r="C958" s="1" t="s">
        <v>3033</v>
      </c>
      <c r="D958" s="1" t="s">
        <v>45</v>
      </c>
      <c r="E958" s="1" t="s">
        <v>1022</v>
      </c>
      <c r="F958" s="1" t="s">
        <v>22</v>
      </c>
      <c r="G958" s="1" t="s">
        <v>23</v>
      </c>
      <c r="H958" s="1" t="s">
        <v>30</v>
      </c>
      <c r="I958" s="1">
        <v>1593</v>
      </c>
      <c r="J958" s="12">
        <f t="shared" si="28"/>
        <v>45294</v>
      </c>
      <c r="K958" s="14">
        <f t="shared" si="29"/>
        <v>1</v>
      </c>
      <c r="L958" s="13"/>
      <c r="M958" s="13"/>
    </row>
    <row r="959" spans="1:13" x14ac:dyDescent="0.25">
      <c r="A959" s="1" t="s">
        <v>2660</v>
      </c>
      <c r="B959" s="1" t="s">
        <v>1307</v>
      </c>
      <c r="C959" s="1" t="s">
        <v>3034</v>
      </c>
      <c r="D959" s="1" t="s">
        <v>45</v>
      </c>
      <c r="E959" s="1" t="s">
        <v>2600</v>
      </c>
      <c r="F959" s="1" t="s">
        <v>29</v>
      </c>
      <c r="G959" s="1" t="s">
        <v>15</v>
      </c>
      <c r="H959" s="1" t="s">
        <v>16</v>
      </c>
      <c r="I959" s="1">
        <v>549</v>
      </c>
      <c r="J959" s="12">
        <f t="shared" si="28"/>
        <v>45293</v>
      </c>
      <c r="K959" s="14">
        <f t="shared" si="29"/>
        <v>1</v>
      </c>
      <c r="L959" s="13"/>
      <c r="M959" s="13"/>
    </row>
    <row r="960" spans="1:13" x14ac:dyDescent="0.25">
      <c r="A960" s="1" t="s">
        <v>267</v>
      </c>
      <c r="B960" s="1" t="s">
        <v>268</v>
      </c>
      <c r="C960" s="1" t="s">
        <v>3035</v>
      </c>
      <c r="D960" s="1" t="s">
        <v>45</v>
      </c>
      <c r="E960" s="1" t="s">
        <v>3036</v>
      </c>
      <c r="F960" s="1" t="s">
        <v>29</v>
      </c>
      <c r="G960" s="1" t="s">
        <v>15</v>
      </c>
      <c r="H960" s="1" t="s">
        <v>30</v>
      </c>
      <c r="I960" s="1">
        <v>3553</v>
      </c>
      <c r="J960" s="12">
        <f t="shared" si="28"/>
        <v>45313</v>
      </c>
      <c r="K960" s="14">
        <f t="shared" si="29"/>
        <v>1</v>
      </c>
      <c r="L960" s="13"/>
      <c r="M960" s="13"/>
    </row>
    <row r="961" spans="1:13" x14ac:dyDescent="0.25">
      <c r="A961" s="1" t="s">
        <v>1640</v>
      </c>
      <c r="B961" s="1" t="s">
        <v>3037</v>
      </c>
      <c r="C961" s="1" t="s">
        <v>3038</v>
      </c>
      <c r="D961" s="1" t="s">
        <v>20</v>
      </c>
      <c r="E961" s="1" t="s">
        <v>193</v>
      </c>
      <c r="F961" s="1" t="s">
        <v>22</v>
      </c>
      <c r="G961" s="1" t="s">
        <v>23</v>
      </c>
      <c r="H961" s="1" t="s">
        <v>30</v>
      </c>
      <c r="I961" s="1">
        <v>0</v>
      </c>
      <c r="J961" s="12">
        <f t="shared" si="28"/>
        <v>45293</v>
      </c>
      <c r="K961" s="14">
        <f t="shared" si="29"/>
        <v>1</v>
      </c>
      <c r="L961" s="13"/>
      <c r="M961" s="13"/>
    </row>
    <row r="962" spans="1:13" x14ac:dyDescent="0.25">
      <c r="A962" s="1" t="s">
        <v>2739</v>
      </c>
      <c r="B962" s="1" t="s">
        <v>152</v>
      </c>
      <c r="C962" s="1" t="s">
        <v>3039</v>
      </c>
      <c r="D962" s="1" t="s">
        <v>12</v>
      </c>
      <c r="E962" s="1" t="s">
        <v>849</v>
      </c>
      <c r="F962" s="1" t="s">
        <v>22</v>
      </c>
      <c r="G962" s="1" t="s">
        <v>35</v>
      </c>
      <c r="H962" s="1" t="s">
        <v>41</v>
      </c>
      <c r="I962" s="1">
        <v>0</v>
      </c>
      <c r="J962" s="12">
        <f t="shared" si="28"/>
        <v>45326</v>
      </c>
      <c r="K962" s="14">
        <f t="shared" si="29"/>
        <v>2</v>
      </c>
      <c r="L962" s="13"/>
      <c r="M962" s="13"/>
    </row>
    <row r="963" spans="1:13" x14ac:dyDescent="0.25">
      <c r="A963" s="1" t="s">
        <v>878</v>
      </c>
      <c r="B963" s="1" t="s">
        <v>3040</v>
      </c>
      <c r="C963" s="1" t="s">
        <v>3041</v>
      </c>
      <c r="D963" s="1" t="s">
        <v>12</v>
      </c>
      <c r="E963" s="1" t="s">
        <v>1667</v>
      </c>
      <c r="F963" s="1" t="s">
        <v>22</v>
      </c>
      <c r="G963" s="1" t="s">
        <v>35</v>
      </c>
      <c r="H963" s="1" t="s">
        <v>55</v>
      </c>
      <c r="I963" s="1">
        <v>0</v>
      </c>
      <c r="J963" s="12">
        <f t="shared" si="28"/>
        <v>45313</v>
      </c>
      <c r="K963" s="14">
        <f t="shared" si="29"/>
        <v>1</v>
      </c>
      <c r="L963" s="13"/>
      <c r="M963" s="13"/>
    </row>
    <row r="964" spans="1:13" x14ac:dyDescent="0.25">
      <c r="A964" s="1" t="s">
        <v>186</v>
      </c>
      <c r="B964" s="1" t="s">
        <v>3042</v>
      </c>
      <c r="C964" s="1" t="s">
        <v>3043</v>
      </c>
      <c r="D964" s="1" t="s">
        <v>12</v>
      </c>
      <c r="E964" s="1" t="s">
        <v>3044</v>
      </c>
      <c r="F964" s="1" t="s">
        <v>75</v>
      </c>
      <c r="G964" s="1" t="s">
        <v>23</v>
      </c>
      <c r="H964" s="1" t="s">
        <v>30</v>
      </c>
      <c r="I964" s="1">
        <v>0</v>
      </c>
      <c r="J964" s="12">
        <f t="shared" ref="J964:J1001" si="30">INT(C964)</f>
        <v>45296</v>
      </c>
      <c r="K964" s="14">
        <f t="shared" ref="K964:K1001" si="31">MONTH(C964)</f>
        <v>1</v>
      </c>
      <c r="L964" s="13"/>
      <c r="M964" s="13"/>
    </row>
    <row r="965" spans="1:13" x14ac:dyDescent="0.25">
      <c r="A965" s="1" t="s">
        <v>2420</v>
      </c>
      <c r="B965" s="1" t="s">
        <v>3045</v>
      </c>
      <c r="C965" s="1" t="s">
        <v>3046</v>
      </c>
      <c r="D965" s="1" t="s">
        <v>45</v>
      </c>
      <c r="E965" s="1" t="s">
        <v>1784</v>
      </c>
      <c r="F965" s="1" t="s">
        <v>22</v>
      </c>
      <c r="G965" s="1" t="s">
        <v>15</v>
      </c>
      <c r="H965" s="1" t="s">
        <v>16</v>
      </c>
      <c r="I965" s="1">
        <v>2484</v>
      </c>
      <c r="J965" s="12">
        <f t="shared" si="30"/>
        <v>45318</v>
      </c>
      <c r="K965" s="14">
        <f t="shared" si="31"/>
        <v>1</v>
      </c>
      <c r="L965" s="13"/>
      <c r="M965" s="13"/>
    </row>
    <row r="966" spans="1:13" x14ac:dyDescent="0.25">
      <c r="A966" s="1" t="s">
        <v>3047</v>
      </c>
      <c r="B966" s="1" t="s">
        <v>3048</v>
      </c>
      <c r="C966" s="1" t="s">
        <v>3049</v>
      </c>
      <c r="D966" s="1" t="s">
        <v>12</v>
      </c>
      <c r="E966" s="1" t="s">
        <v>1444</v>
      </c>
      <c r="F966" s="1" t="s">
        <v>40</v>
      </c>
      <c r="G966" s="1" t="s">
        <v>15</v>
      </c>
      <c r="H966" s="1" t="s">
        <v>30</v>
      </c>
      <c r="I966" s="1">
        <v>0</v>
      </c>
      <c r="J966" s="12">
        <f t="shared" si="30"/>
        <v>45323</v>
      </c>
      <c r="K966" s="14">
        <f t="shared" si="31"/>
        <v>2</v>
      </c>
      <c r="L966" s="13"/>
      <c r="M966" s="13"/>
    </row>
    <row r="967" spans="1:13" x14ac:dyDescent="0.25">
      <c r="A967" s="1" t="s">
        <v>159</v>
      </c>
      <c r="B967" s="1" t="s">
        <v>3050</v>
      </c>
      <c r="C967" s="1" t="s">
        <v>3051</v>
      </c>
      <c r="D967" s="1" t="s">
        <v>12</v>
      </c>
      <c r="E967" s="1" t="s">
        <v>1955</v>
      </c>
      <c r="F967" s="1" t="s">
        <v>14</v>
      </c>
      <c r="G967" s="1" t="s">
        <v>23</v>
      </c>
      <c r="H967" s="1" t="s">
        <v>16</v>
      </c>
      <c r="I967" s="1">
        <v>0</v>
      </c>
      <c r="J967" s="12">
        <f t="shared" si="30"/>
        <v>45299</v>
      </c>
      <c r="K967" s="14">
        <f t="shared" si="31"/>
        <v>1</v>
      </c>
      <c r="L967" s="13"/>
      <c r="M967" s="13"/>
    </row>
    <row r="968" spans="1:13" x14ac:dyDescent="0.25">
      <c r="A968" s="1" t="s">
        <v>3052</v>
      </c>
      <c r="B968" s="1" t="s">
        <v>3053</v>
      </c>
      <c r="C968" s="1" t="s">
        <v>3054</v>
      </c>
      <c r="D968" s="1" t="s">
        <v>45</v>
      </c>
      <c r="E968" s="1" t="s">
        <v>824</v>
      </c>
      <c r="F968" s="1" t="s">
        <v>22</v>
      </c>
      <c r="G968" s="1" t="s">
        <v>15</v>
      </c>
      <c r="H968" s="1" t="s">
        <v>30</v>
      </c>
      <c r="I968" s="1">
        <v>4324</v>
      </c>
      <c r="J968" s="12">
        <f t="shared" si="30"/>
        <v>45298</v>
      </c>
      <c r="K968" s="14">
        <f t="shared" si="31"/>
        <v>1</v>
      </c>
      <c r="L968" s="13"/>
      <c r="M968" s="13"/>
    </row>
    <row r="969" spans="1:13" x14ac:dyDescent="0.25">
      <c r="A969" s="1" t="s">
        <v>3055</v>
      </c>
      <c r="B969" s="1" t="s">
        <v>2056</v>
      </c>
      <c r="C969" s="1" t="s">
        <v>3056</v>
      </c>
      <c r="D969" s="1" t="s">
        <v>45</v>
      </c>
      <c r="E969" s="1" t="s">
        <v>3057</v>
      </c>
      <c r="F969" s="1" t="s">
        <v>75</v>
      </c>
      <c r="G969" s="1" t="s">
        <v>15</v>
      </c>
      <c r="H969" s="1" t="s">
        <v>41</v>
      </c>
      <c r="I969" s="1">
        <v>868</v>
      </c>
      <c r="J969" s="12">
        <f t="shared" si="30"/>
        <v>45302</v>
      </c>
      <c r="K969" s="14">
        <f t="shared" si="31"/>
        <v>1</v>
      </c>
      <c r="L969" s="13"/>
      <c r="M969" s="13"/>
    </row>
    <row r="970" spans="1:13" x14ac:dyDescent="0.25">
      <c r="A970" s="1" t="s">
        <v>3058</v>
      </c>
      <c r="B970" s="1" t="s">
        <v>3059</v>
      </c>
      <c r="C970" s="1" t="s">
        <v>3060</v>
      </c>
      <c r="D970" s="1" t="s">
        <v>12</v>
      </c>
      <c r="E970" s="1" t="s">
        <v>2430</v>
      </c>
      <c r="F970" s="1" t="s">
        <v>22</v>
      </c>
      <c r="G970" s="1" t="s">
        <v>15</v>
      </c>
      <c r="H970" s="1" t="s">
        <v>55</v>
      </c>
      <c r="I970" s="1">
        <v>0</v>
      </c>
      <c r="J970" s="12">
        <f t="shared" si="30"/>
        <v>45298</v>
      </c>
      <c r="K970" s="14">
        <f t="shared" si="31"/>
        <v>1</v>
      </c>
      <c r="L970" s="13"/>
      <c r="M970" s="13"/>
    </row>
    <row r="971" spans="1:13" x14ac:dyDescent="0.25">
      <c r="A971" s="1" t="s">
        <v>3061</v>
      </c>
      <c r="B971" s="1" t="s">
        <v>3062</v>
      </c>
      <c r="C971" s="1" t="s">
        <v>3063</v>
      </c>
      <c r="D971" s="1" t="s">
        <v>12</v>
      </c>
      <c r="E971" s="1" t="s">
        <v>589</v>
      </c>
      <c r="F971" s="1" t="s">
        <v>22</v>
      </c>
      <c r="G971" s="1" t="s">
        <v>23</v>
      </c>
      <c r="H971" s="1" t="s">
        <v>41</v>
      </c>
      <c r="I971" s="1">
        <v>0</v>
      </c>
      <c r="J971" s="12">
        <f t="shared" si="30"/>
        <v>45326</v>
      </c>
      <c r="K971" s="14">
        <f t="shared" si="31"/>
        <v>2</v>
      </c>
      <c r="L971" s="13"/>
      <c r="M971" s="13"/>
    </row>
    <row r="972" spans="1:13" x14ac:dyDescent="0.25">
      <c r="A972" s="1" t="s">
        <v>2144</v>
      </c>
      <c r="B972" s="1" t="s">
        <v>3064</v>
      </c>
      <c r="C972" s="1" t="s">
        <v>3065</v>
      </c>
      <c r="D972" s="1" t="s">
        <v>12</v>
      </c>
      <c r="E972" s="1" t="s">
        <v>1987</v>
      </c>
      <c r="F972" s="1" t="s">
        <v>40</v>
      </c>
      <c r="G972" s="1" t="s">
        <v>23</v>
      </c>
      <c r="H972" s="1" t="s">
        <v>30</v>
      </c>
      <c r="I972" s="1">
        <v>0</v>
      </c>
      <c r="J972" s="12">
        <f t="shared" si="30"/>
        <v>45318</v>
      </c>
      <c r="K972" s="14">
        <f t="shared" si="31"/>
        <v>1</v>
      </c>
      <c r="L972" s="13"/>
      <c r="M972" s="13"/>
    </row>
    <row r="973" spans="1:13" x14ac:dyDescent="0.25">
      <c r="A973" s="1" t="s">
        <v>3066</v>
      </c>
      <c r="B973" s="1" t="s">
        <v>3067</v>
      </c>
      <c r="C973" s="1" t="s">
        <v>3068</v>
      </c>
      <c r="D973" s="1" t="s">
        <v>12</v>
      </c>
      <c r="E973" s="1" t="s">
        <v>1104</v>
      </c>
      <c r="F973" s="1" t="s">
        <v>14</v>
      </c>
      <c r="G973" s="1" t="s">
        <v>35</v>
      </c>
      <c r="H973" s="1" t="s">
        <v>16</v>
      </c>
      <c r="I973" s="1">
        <v>0</v>
      </c>
      <c r="J973" s="12">
        <f t="shared" si="30"/>
        <v>45321</v>
      </c>
      <c r="K973" s="14">
        <f t="shared" si="31"/>
        <v>1</v>
      </c>
      <c r="L973" s="13"/>
      <c r="M973" s="13"/>
    </row>
    <row r="974" spans="1:13" x14ac:dyDescent="0.25">
      <c r="A974" s="1" t="s">
        <v>3069</v>
      </c>
      <c r="B974" s="1" t="s">
        <v>3070</v>
      </c>
      <c r="C974" s="1" t="s">
        <v>3071</v>
      </c>
      <c r="D974" s="1" t="s">
        <v>45</v>
      </c>
      <c r="E974" s="1" t="s">
        <v>3072</v>
      </c>
      <c r="F974" s="1" t="s">
        <v>40</v>
      </c>
      <c r="G974" s="1" t="s">
        <v>35</v>
      </c>
      <c r="H974" s="1" t="s">
        <v>30</v>
      </c>
      <c r="I974" s="1">
        <v>892</v>
      </c>
      <c r="J974" s="12">
        <f t="shared" si="30"/>
        <v>45310</v>
      </c>
      <c r="K974" s="14">
        <f t="shared" si="31"/>
        <v>1</v>
      </c>
      <c r="L974" s="13"/>
      <c r="M974" s="13"/>
    </row>
    <row r="975" spans="1:13" x14ac:dyDescent="0.25">
      <c r="A975" s="1" t="s">
        <v>1754</v>
      </c>
      <c r="B975" s="1" t="s">
        <v>3073</v>
      </c>
      <c r="C975" s="1" t="s">
        <v>986</v>
      </c>
      <c r="D975" s="1" t="s">
        <v>45</v>
      </c>
      <c r="E975" s="1" t="s">
        <v>146</v>
      </c>
      <c r="F975" s="1" t="s">
        <v>14</v>
      </c>
      <c r="G975" s="1" t="s">
        <v>15</v>
      </c>
      <c r="H975" s="1" t="s">
        <v>41</v>
      </c>
      <c r="I975" s="1">
        <v>1741</v>
      </c>
      <c r="J975" s="12">
        <f t="shared" si="30"/>
        <v>45317</v>
      </c>
      <c r="K975" s="14">
        <f t="shared" si="31"/>
        <v>1</v>
      </c>
      <c r="L975" s="13"/>
      <c r="M975" s="13"/>
    </row>
    <row r="976" spans="1:13" x14ac:dyDescent="0.25">
      <c r="A976" s="1" t="s">
        <v>860</v>
      </c>
      <c r="B976" s="1" t="s">
        <v>3074</v>
      </c>
      <c r="C976" s="1" t="s">
        <v>3075</v>
      </c>
      <c r="D976" s="1" t="s">
        <v>12</v>
      </c>
      <c r="E976" s="1" t="s">
        <v>2246</v>
      </c>
      <c r="F976" s="1" t="s">
        <v>22</v>
      </c>
      <c r="G976" s="1" t="s">
        <v>23</v>
      </c>
      <c r="H976" s="1" t="s">
        <v>16</v>
      </c>
      <c r="I976" s="1">
        <v>0</v>
      </c>
      <c r="J976" s="12">
        <f t="shared" si="30"/>
        <v>45321</v>
      </c>
      <c r="K976" s="14">
        <f t="shared" si="31"/>
        <v>1</v>
      </c>
      <c r="L976" s="13"/>
      <c r="M976" s="13"/>
    </row>
    <row r="977" spans="1:13" x14ac:dyDescent="0.25">
      <c r="A977" s="1" t="s">
        <v>474</v>
      </c>
      <c r="B977" s="1" t="s">
        <v>2372</v>
      </c>
      <c r="C977" s="1" t="s">
        <v>3076</v>
      </c>
      <c r="D977" s="1" t="s">
        <v>12</v>
      </c>
      <c r="E977" s="1" t="s">
        <v>3077</v>
      </c>
      <c r="F977" s="1" t="s">
        <v>22</v>
      </c>
      <c r="G977" s="1" t="s">
        <v>15</v>
      </c>
      <c r="H977" s="1" t="s">
        <v>24</v>
      </c>
      <c r="I977" s="1">
        <v>0</v>
      </c>
      <c r="J977" s="12">
        <f t="shared" si="30"/>
        <v>45315</v>
      </c>
      <c r="K977" s="14">
        <f t="shared" si="31"/>
        <v>1</v>
      </c>
      <c r="L977" s="13"/>
      <c r="M977" s="13"/>
    </row>
    <row r="978" spans="1:13" x14ac:dyDescent="0.25">
      <c r="A978" s="1" t="s">
        <v>1460</v>
      </c>
      <c r="B978" s="1" t="s">
        <v>3078</v>
      </c>
      <c r="C978" s="1" t="s">
        <v>3079</v>
      </c>
      <c r="D978" s="1" t="s">
        <v>20</v>
      </c>
      <c r="E978" s="1" t="s">
        <v>3080</v>
      </c>
      <c r="F978" s="1" t="s">
        <v>29</v>
      </c>
      <c r="G978" s="1" t="s">
        <v>23</v>
      </c>
      <c r="H978" s="1" t="s">
        <v>30</v>
      </c>
      <c r="I978" s="1">
        <v>0</v>
      </c>
      <c r="J978" s="12">
        <f t="shared" si="30"/>
        <v>45304</v>
      </c>
      <c r="K978" s="14">
        <f t="shared" si="31"/>
        <v>1</v>
      </c>
      <c r="L978" s="13"/>
      <c r="M978" s="13"/>
    </row>
    <row r="979" spans="1:13" x14ac:dyDescent="0.25">
      <c r="A979" s="1" t="s">
        <v>1451</v>
      </c>
      <c r="B979" s="1" t="s">
        <v>3081</v>
      </c>
      <c r="C979" s="1" t="s">
        <v>3082</v>
      </c>
      <c r="D979" s="1" t="s">
        <v>45</v>
      </c>
      <c r="E979" s="1" t="s">
        <v>3083</v>
      </c>
      <c r="F979" s="1" t="s">
        <v>40</v>
      </c>
      <c r="G979" s="1" t="s">
        <v>35</v>
      </c>
      <c r="H979" s="1" t="s">
        <v>41</v>
      </c>
      <c r="I979" s="1">
        <v>2583</v>
      </c>
      <c r="J979" s="12">
        <f t="shared" si="30"/>
        <v>45316</v>
      </c>
      <c r="K979" s="14">
        <f t="shared" si="31"/>
        <v>1</v>
      </c>
      <c r="L979" s="13"/>
      <c r="M979" s="13"/>
    </row>
    <row r="980" spans="1:13" x14ac:dyDescent="0.25">
      <c r="A980" s="1" t="s">
        <v>3084</v>
      </c>
      <c r="B980" s="1" t="s">
        <v>3085</v>
      </c>
      <c r="C980" s="1" t="s">
        <v>3086</v>
      </c>
      <c r="D980" s="1" t="s">
        <v>12</v>
      </c>
      <c r="E980" s="1" t="s">
        <v>2124</v>
      </c>
      <c r="F980" s="1" t="s">
        <v>75</v>
      </c>
      <c r="G980" s="1" t="s">
        <v>23</v>
      </c>
      <c r="H980" s="1" t="s">
        <v>24</v>
      </c>
      <c r="I980" s="1">
        <v>0</v>
      </c>
      <c r="J980" s="12">
        <f t="shared" si="30"/>
        <v>45311</v>
      </c>
      <c r="K980" s="14">
        <f t="shared" si="31"/>
        <v>1</v>
      </c>
      <c r="L980" s="13"/>
      <c r="M980" s="13"/>
    </row>
    <row r="981" spans="1:13" x14ac:dyDescent="0.25">
      <c r="A981" s="1" t="s">
        <v>1628</v>
      </c>
      <c r="B981" s="1" t="s">
        <v>3087</v>
      </c>
      <c r="C981" s="1" t="s">
        <v>3088</v>
      </c>
      <c r="D981" s="1" t="s">
        <v>12</v>
      </c>
      <c r="E981" s="1" t="s">
        <v>3089</v>
      </c>
      <c r="F981" s="1" t="s">
        <v>40</v>
      </c>
      <c r="G981" s="1" t="s">
        <v>15</v>
      </c>
      <c r="H981" s="1" t="s">
        <v>16</v>
      </c>
      <c r="I981" s="1">
        <v>0</v>
      </c>
      <c r="J981" s="12">
        <f t="shared" si="30"/>
        <v>45310</v>
      </c>
      <c r="K981" s="14">
        <f t="shared" si="31"/>
        <v>1</v>
      </c>
      <c r="L981" s="13"/>
      <c r="M981" s="13"/>
    </row>
    <row r="982" spans="1:13" x14ac:dyDescent="0.25">
      <c r="A982" s="1" t="s">
        <v>3090</v>
      </c>
      <c r="B982" s="1" t="s">
        <v>1337</v>
      </c>
      <c r="C982" s="1" t="s">
        <v>3091</v>
      </c>
      <c r="D982" s="1" t="s">
        <v>45</v>
      </c>
      <c r="E982" s="1" t="s">
        <v>3092</v>
      </c>
      <c r="F982" s="1" t="s">
        <v>29</v>
      </c>
      <c r="G982" s="1" t="s">
        <v>23</v>
      </c>
      <c r="H982" s="1" t="s">
        <v>30</v>
      </c>
      <c r="I982" s="1">
        <v>2841</v>
      </c>
      <c r="J982" s="12">
        <f t="shared" si="30"/>
        <v>45317</v>
      </c>
      <c r="K982" s="14">
        <f t="shared" si="31"/>
        <v>1</v>
      </c>
      <c r="L982" s="13"/>
      <c r="M982" s="13"/>
    </row>
    <row r="983" spans="1:13" x14ac:dyDescent="0.25">
      <c r="A983" s="1" t="s">
        <v>307</v>
      </c>
      <c r="B983" s="1" t="s">
        <v>3093</v>
      </c>
      <c r="C983" s="1" t="s">
        <v>3094</v>
      </c>
      <c r="D983" s="1" t="s">
        <v>20</v>
      </c>
      <c r="E983" s="1" t="s">
        <v>841</v>
      </c>
      <c r="F983" s="1" t="s">
        <v>22</v>
      </c>
      <c r="G983" s="1" t="s">
        <v>35</v>
      </c>
      <c r="H983" s="1" t="s">
        <v>55</v>
      </c>
      <c r="I983" s="1">
        <v>0</v>
      </c>
      <c r="J983" s="12">
        <f t="shared" si="30"/>
        <v>45313</v>
      </c>
      <c r="K983" s="14">
        <f t="shared" si="31"/>
        <v>1</v>
      </c>
      <c r="L983" s="13"/>
      <c r="M983" s="13"/>
    </row>
    <row r="984" spans="1:13" x14ac:dyDescent="0.25">
      <c r="A984" s="1" t="s">
        <v>1867</v>
      </c>
      <c r="B984" s="1" t="s">
        <v>3095</v>
      </c>
      <c r="C984" s="1" t="s">
        <v>3096</v>
      </c>
      <c r="D984" s="1" t="s">
        <v>20</v>
      </c>
      <c r="E984" s="1" t="s">
        <v>3097</v>
      </c>
      <c r="F984" s="1" t="s">
        <v>22</v>
      </c>
      <c r="G984" s="1" t="s">
        <v>35</v>
      </c>
      <c r="H984" s="1" t="s">
        <v>16</v>
      </c>
      <c r="I984" s="1">
        <v>0</v>
      </c>
      <c r="J984" s="12">
        <f t="shared" si="30"/>
        <v>45309</v>
      </c>
      <c r="K984" s="14">
        <f t="shared" si="31"/>
        <v>1</v>
      </c>
      <c r="L984" s="13"/>
      <c r="M984" s="13"/>
    </row>
    <row r="985" spans="1:13" x14ac:dyDescent="0.25">
      <c r="A985" s="1" t="s">
        <v>303</v>
      </c>
      <c r="B985" s="1" t="s">
        <v>3098</v>
      </c>
      <c r="C985" s="1" t="s">
        <v>3099</v>
      </c>
      <c r="D985" s="1" t="s">
        <v>20</v>
      </c>
      <c r="E985" s="1" t="s">
        <v>2984</v>
      </c>
      <c r="F985" s="1" t="s">
        <v>75</v>
      </c>
      <c r="G985" s="1" t="s">
        <v>15</v>
      </c>
      <c r="H985" s="1" t="s">
        <v>55</v>
      </c>
      <c r="I985" s="1">
        <v>0</v>
      </c>
      <c r="J985" s="12">
        <f t="shared" si="30"/>
        <v>45296</v>
      </c>
      <c r="K985" s="14">
        <f t="shared" si="31"/>
        <v>1</v>
      </c>
      <c r="L985" s="13"/>
      <c r="M985" s="13"/>
    </row>
    <row r="986" spans="1:13" x14ac:dyDescent="0.25">
      <c r="A986" s="1" t="s">
        <v>3100</v>
      </c>
      <c r="B986" s="1" t="s">
        <v>3101</v>
      </c>
      <c r="C986" s="1" t="s">
        <v>3102</v>
      </c>
      <c r="D986" s="1" t="s">
        <v>20</v>
      </c>
      <c r="E986" s="1" t="s">
        <v>1661</v>
      </c>
      <c r="F986" s="1" t="s">
        <v>40</v>
      </c>
      <c r="G986" s="1" t="s">
        <v>15</v>
      </c>
      <c r="H986" s="1" t="s">
        <v>30</v>
      </c>
      <c r="I986" s="1">
        <v>0</v>
      </c>
      <c r="J986" s="12">
        <f t="shared" si="30"/>
        <v>45311</v>
      </c>
      <c r="K986" s="14">
        <f t="shared" si="31"/>
        <v>1</v>
      </c>
      <c r="L986" s="13"/>
      <c r="M986" s="13"/>
    </row>
    <row r="987" spans="1:13" x14ac:dyDescent="0.25">
      <c r="A987" s="1" t="s">
        <v>123</v>
      </c>
      <c r="B987" s="1" t="s">
        <v>3103</v>
      </c>
      <c r="C987" s="1" t="s">
        <v>3104</v>
      </c>
      <c r="D987" s="1" t="s">
        <v>20</v>
      </c>
      <c r="E987" s="1" t="s">
        <v>1309</v>
      </c>
      <c r="F987" s="1" t="s">
        <v>14</v>
      </c>
      <c r="G987" s="1" t="s">
        <v>23</v>
      </c>
      <c r="H987" s="1" t="s">
        <v>30</v>
      </c>
      <c r="I987" s="1">
        <v>0</v>
      </c>
      <c r="J987" s="12">
        <f t="shared" si="30"/>
        <v>45314</v>
      </c>
      <c r="K987" s="14">
        <f t="shared" si="31"/>
        <v>1</v>
      </c>
      <c r="L987" s="13"/>
      <c r="M987" s="13"/>
    </row>
    <row r="988" spans="1:13" x14ac:dyDescent="0.25">
      <c r="A988" s="1" t="s">
        <v>886</v>
      </c>
      <c r="B988" s="1" t="s">
        <v>3105</v>
      </c>
      <c r="C988" s="1" t="s">
        <v>3106</v>
      </c>
      <c r="D988" s="1" t="s">
        <v>12</v>
      </c>
      <c r="E988" s="1" t="s">
        <v>2612</v>
      </c>
      <c r="F988" s="1" t="s">
        <v>22</v>
      </c>
      <c r="G988" s="1" t="s">
        <v>35</v>
      </c>
      <c r="H988" s="1" t="s">
        <v>24</v>
      </c>
      <c r="I988" s="1">
        <v>0</v>
      </c>
      <c r="J988" s="12">
        <f t="shared" si="30"/>
        <v>45309</v>
      </c>
      <c r="K988" s="14">
        <f t="shared" si="31"/>
        <v>1</v>
      </c>
      <c r="L988" s="13"/>
      <c r="M988" s="13"/>
    </row>
    <row r="989" spans="1:13" x14ac:dyDescent="0.25">
      <c r="A989" s="1" t="s">
        <v>3107</v>
      </c>
      <c r="B989" s="1" t="s">
        <v>3108</v>
      </c>
      <c r="C989" s="1" t="s">
        <v>3109</v>
      </c>
      <c r="D989" s="1" t="s">
        <v>45</v>
      </c>
      <c r="E989" s="1" t="s">
        <v>3110</v>
      </c>
      <c r="F989" s="1" t="s">
        <v>40</v>
      </c>
      <c r="G989" s="1" t="s">
        <v>35</v>
      </c>
      <c r="H989" s="1" t="s">
        <v>55</v>
      </c>
      <c r="I989" s="1">
        <v>519</v>
      </c>
      <c r="J989" s="12">
        <f t="shared" si="30"/>
        <v>45306</v>
      </c>
      <c r="K989" s="14">
        <f t="shared" si="31"/>
        <v>1</v>
      </c>
      <c r="L989" s="13"/>
      <c r="M989" s="13"/>
    </row>
    <row r="990" spans="1:13" x14ac:dyDescent="0.25">
      <c r="A990" s="1" t="s">
        <v>112</v>
      </c>
      <c r="B990" s="1" t="s">
        <v>3111</v>
      </c>
      <c r="C990" s="1" t="s">
        <v>3112</v>
      </c>
      <c r="D990" s="1" t="s">
        <v>20</v>
      </c>
      <c r="E990" s="1" t="s">
        <v>1616</v>
      </c>
      <c r="F990" s="1" t="s">
        <v>29</v>
      </c>
      <c r="G990" s="1" t="s">
        <v>35</v>
      </c>
      <c r="H990" s="1" t="s">
        <v>16</v>
      </c>
      <c r="I990" s="1">
        <v>0</v>
      </c>
      <c r="J990" s="12">
        <f t="shared" si="30"/>
        <v>45307</v>
      </c>
      <c r="K990" s="14">
        <f t="shared" si="31"/>
        <v>1</v>
      </c>
      <c r="L990" s="13"/>
      <c r="M990" s="13"/>
    </row>
    <row r="991" spans="1:13" x14ac:dyDescent="0.25">
      <c r="A991" s="1" t="s">
        <v>2281</v>
      </c>
      <c r="B991" s="1" t="s">
        <v>3113</v>
      </c>
      <c r="C991" s="1" t="s">
        <v>3114</v>
      </c>
      <c r="D991" s="1" t="s">
        <v>20</v>
      </c>
      <c r="E991" s="1" t="s">
        <v>1292</v>
      </c>
      <c r="F991" s="1" t="s">
        <v>22</v>
      </c>
      <c r="G991" s="1" t="s">
        <v>35</v>
      </c>
      <c r="H991" s="1" t="s">
        <v>16</v>
      </c>
      <c r="I991" s="1">
        <v>0</v>
      </c>
      <c r="J991" s="12">
        <f t="shared" si="30"/>
        <v>45318</v>
      </c>
      <c r="K991" s="14">
        <f t="shared" si="31"/>
        <v>1</v>
      </c>
      <c r="L991" s="13"/>
      <c r="M991" s="13"/>
    </row>
    <row r="992" spans="1:13" x14ac:dyDescent="0.25">
      <c r="A992" s="1" t="s">
        <v>3115</v>
      </c>
      <c r="B992" s="1" t="s">
        <v>3116</v>
      </c>
      <c r="C992" s="1" t="s">
        <v>3117</v>
      </c>
      <c r="D992" s="1" t="s">
        <v>12</v>
      </c>
      <c r="E992" s="1" t="s">
        <v>2267</v>
      </c>
      <c r="F992" s="1" t="s">
        <v>40</v>
      </c>
      <c r="G992" s="1" t="s">
        <v>15</v>
      </c>
      <c r="H992" s="1" t="s">
        <v>24</v>
      </c>
      <c r="I992" s="1">
        <v>0</v>
      </c>
      <c r="J992" s="12">
        <f t="shared" si="30"/>
        <v>45323</v>
      </c>
      <c r="K992" s="14">
        <f t="shared" si="31"/>
        <v>2</v>
      </c>
      <c r="L992" s="13"/>
      <c r="M992" s="13"/>
    </row>
    <row r="993" spans="1:13" x14ac:dyDescent="0.25">
      <c r="A993" s="1" t="s">
        <v>633</v>
      </c>
      <c r="B993" s="1" t="s">
        <v>3118</v>
      </c>
      <c r="C993" s="1" t="s">
        <v>3119</v>
      </c>
      <c r="D993" s="1" t="s">
        <v>12</v>
      </c>
      <c r="E993" s="1" t="s">
        <v>1221</v>
      </c>
      <c r="F993" s="1" t="s">
        <v>40</v>
      </c>
      <c r="G993" s="1" t="s">
        <v>15</v>
      </c>
      <c r="H993" s="1" t="s">
        <v>41</v>
      </c>
      <c r="I993" s="1">
        <v>0</v>
      </c>
      <c r="J993" s="12">
        <f t="shared" si="30"/>
        <v>45324</v>
      </c>
      <c r="K993" s="14">
        <f t="shared" si="31"/>
        <v>2</v>
      </c>
      <c r="L993" s="13"/>
      <c r="M993" s="13"/>
    </row>
    <row r="994" spans="1:13" x14ac:dyDescent="0.25">
      <c r="A994" s="1" t="s">
        <v>3120</v>
      </c>
      <c r="B994" s="1" t="s">
        <v>3121</v>
      </c>
      <c r="C994" s="1" t="s">
        <v>3122</v>
      </c>
      <c r="D994" s="1" t="s">
        <v>12</v>
      </c>
      <c r="E994" s="1" t="s">
        <v>3123</v>
      </c>
      <c r="F994" s="1" t="s">
        <v>14</v>
      </c>
      <c r="G994" s="1" t="s">
        <v>23</v>
      </c>
      <c r="H994" s="1" t="s">
        <v>41</v>
      </c>
      <c r="I994" s="1">
        <v>0</v>
      </c>
      <c r="J994" s="12">
        <f t="shared" si="30"/>
        <v>45294</v>
      </c>
      <c r="K994" s="14">
        <f t="shared" si="31"/>
        <v>1</v>
      </c>
      <c r="L994" s="13"/>
      <c r="M994" s="13"/>
    </row>
    <row r="995" spans="1:13" x14ac:dyDescent="0.25">
      <c r="A995" s="1" t="s">
        <v>892</v>
      </c>
      <c r="B995" s="1" t="s">
        <v>3124</v>
      </c>
      <c r="C995" s="1" t="s">
        <v>3125</v>
      </c>
      <c r="D995" s="1" t="s">
        <v>45</v>
      </c>
      <c r="E995" s="1" t="s">
        <v>2987</v>
      </c>
      <c r="F995" s="1" t="s">
        <v>22</v>
      </c>
      <c r="G995" s="1" t="s">
        <v>23</v>
      </c>
      <c r="H995" s="1" t="s">
        <v>16</v>
      </c>
      <c r="I995" s="1">
        <v>2649</v>
      </c>
      <c r="J995" s="12">
        <f t="shared" si="30"/>
        <v>45295</v>
      </c>
      <c r="K995" s="14">
        <f t="shared" si="31"/>
        <v>1</v>
      </c>
      <c r="L995" s="13"/>
      <c r="M995" s="13"/>
    </row>
    <row r="996" spans="1:13" x14ac:dyDescent="0.25">
      <c r="A996" s="1" t="s">
        <v>3126</v>
      </c>
      <c r="B996" s="1" t="s">
        <v>3127</v>
      </c>
      <c r="C996" s="1" t="s">
        <v>3128</v>
      </c>
      <c r="D996" s="1" t="s">
        <v>20</v>
      </c>
      <c r="E996" s="1" t="s">
        <v>2649</v>
      </c>
      <c r="F996" s="1" t="s">
        <v>75</v>
      </c>
      <c r="G996" s="1" t="s">
        <v>15</v>
      </c>
      <c r="H996" s="1" t="s">
        <v>55</v>
      </c>
      <c r="I996" s="1">
        <v>0</v>
      </c>
      <c r="J996" s="12">
        <f t="shared" si="30"/>
        <v>45292</v>
      </c>
      <c r="K996" s="14">
        <f t="shared" si="31"/>
        <v>1</v>
      </c>
      <c r="L996" s="13"/>
      <c r="M996" s="13"/>
    </row>
    <row r="997" spans="1:13" x14ac:dyDescent="0.25">
      <c r="A997" s="1" t="s">
        <v>433</v>
      </c>
      <c r="B997" s="1" t="s">
        <v>3129</v>
      </c>
      <c r="C997" s="1" t="s">
        <v>3130</v>
      </c>
      <c r="D997" s="1" t="s">
        <v>20</v>
      </c>
      <c r="E997" s="1" t="s">
        <v>46</v>
      </c>
      <c r="F997" s="1" t="s">
        <v>14</v>
      </c>
      <c r="G997" s="1" t="s">
        <v>35</v>
      </c>
      <c r="H997" s="1" t="s">
        <v>30</v>
      </c>
      <c r="I997" s="1">
        <v>0</v>
      </c>
      <c r="J997" s="12">
        <f t="shared" si="30"/>
        <v>45312</v>
      </c>
      <c r="K997" s="14">
        <f t="shared" si="31"/>
        <v>1</v>
      </c>
      <c r="L997" s="13"/>
      <c r="M997" s="13"/>
    </row>
    <row r="998" spans="1:13" x14ac:dyDescent="0.25">
      <c r="A998" s="1" t="s">
        <v>1133</v>
      </c>
      <c r="B998" s="1" t="s">
        <v>3131</v>
      </c>
      <c r="C998" s="1" t="s">
        <v>3132</v>
      </c>
      <c r="D998" s="1" t="s">
        <v>45</v>
      </c>
      <c r="E998" s="1" t="s">
        <v>3133</v>
      </c>
      <c r="F998" s="1" t="s">
        <v>75</v>
      </c>
      <c r="G998" s="1" t="s">
        <v>35</v>
      </c>
      <c r="H998" s="1" t="s">
        <v>24</v>
      </c>
      <c r="I998" s="1">
        <v>2373</v>
      </c>
      <c r="J998" s="12">
        <f t="shared" si="30"/>
        <v>45296</v>
      </c>
      <c r="K998" s="14">
        <f t="shared" si="31"/>
        <v>1</v>
      </c>
      <c r="L998" s="13"/>
      <c r="M998" s="13"/>
    </row>
    <row r="999" spans="1:13" x14ac:dyDescent="0.25">
      <c r="A999" s="1" t="s">
        <v>3134</v>
      </c>
      <c r="B999" s="1" t="s">
        <v>3135</v>
      </c>
      <c r="C999" s="1" t="s">
        <v>3136</v>
      </c>
      <c r="D999" s="1" t="s">
        <v>20</v>
      </c>
      <c r="E999" s="1" t="s">
        <v>488</v>
      </c>
      <c r="F999" s="1" t="s">
        <v>40</v>
      </c>
      <c r="G999" s="1" t="s">
        <v>15</v>
      </c>
      <c r="H999" s="1" t="s">
        <v>16</v>
      </c>
      <c r="I999" s="1">
        <v>0</v>
      </c>
      <c r="J999" s="12">
        <f t="shared" si="30"/>
        <v>45303</v>
      </c>
      <c r="K999" s="14">
        <f t="shared" si="31"/>
        <v>1</v>
      </c>
      <c r="L999" s="13"/>
      <c r="M999" s="13"/>
    </row>
    <row r="1000" spans="1:13" x14ac:dyDescent="0.25">
      <c r="A1000" s="1" t="s">
        <v>155</v>
      </c>
      <c r="B1000" s="1" t="s">
        <v>3137</v>
      </c>
      <c r="C1000" s="1" t="s">
        <v>3138</v>
      </c>
      <c r="D1000" s="1" t="s">
        <v>12</v>
      </c>
      <c r="E1000" s="1" t="s">
        <v>146</v>
      </c>
      <c r="F1000" s="1" t="s">
        <v>75</v>
      </c>
      <c r="G1000" s="1" t="s">
        <v>15</v>
      </c>
      <c r="H1000" s="1" t="s">
        <v>24</v>
      </c>
      <c r="I1000" s="1">
        <v>0</v>
      </c>
      <c r="J1000" s="12">
        <f t="shared" si="30"/>
        <v>45312</v>
      </c>
      <c r="K1000" s="14">
        <f t="shared" si="31"/>
        <v>1</v>
      </c>
      <c r="L1000" s="13"/>
      <c r="M1000" s="13"/>
    </row>
    <row r="1001" spans="1:13" x14ac:dyDescent="0.25">
      <c r="A1001" s="1" t="s">
        <v>315</v>
      </c>
      <c r="B1001" s="1" t="s">
        <v>3139</v>
      </c>
      <c r="C1001" s="1" t="s">
        <v>3140</v>
      </c>
      <c r="D1001" s="1" t="s">
        <v>12</v>
      </c>
      <c r="E1001" s="1" t="s">
        <v>3141</v>
      </c>
      <c r="F1001" s="1" t="s">
        <v>22</v>
      </c>
      <c r="G1001" s="1" t="s">
        <v>23</v>
      </c>
      <c r="H1001" s="1" t="s">
        <v>24</v>
      </c>
      <c r="I1001" s="1">
        <v>0</v>
      </c>
      <c r="J1001" s="12">
        <f t="shared" si="30"/>
        <v>45308</v>
      </c>
      <c r="K1001" s="14">
        <f t="shared" si="31"/>
        <v>1</v>
      </c>
      <c r="L1001" s="13"/>
      <c r="M1001" s="13"/>
    </row>
  </sheetData>
  <mergeCells count="1">
    <mergeCell ref="N5:O5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tabSelected="1" workbookViewId="0">
      <selection activeCell="H23" sqref="H23"/>
    </sheetView>
  </sheetViews>
  <sheetFormatPr defaultRowHeight="15" x14ac:dyDescent="0.25"/>
  <cols>
    <col min="1" max="1" width="13.140625" bestFit="1" customWidth="1"/>
    <col min="2" max="2" width="15.5703125" bestFit="1" customWidth="1"/>
    <col min="4" max="4" width="11.28515625" customWidth="1"/>
    <col min="5" max="5" width="15.5703125" bestFit="1" customWidth="1"/>
    <col min="7" max="7" width="13.140625" customWidth="1"/>
    <col min="8" max="8" width="17" bestFit="1" customWidth="1"/>
    <col min="10" max="10" width="13" customWidth="1"/>
    <col min="11" max="11" width="18.85546875" bestFit="1" customWidth="1"/>
    <col min="13" max="13" width="15.7109375" customWidth="1"/>
    <col min="14" max="14" width="15.28515625" customWidth="1"/>
  </cols>
  <sheetData>
    <row r="1" spans="1:11" ht="21.75" customHeight="1" x14ac:dyDescent="0.3">
      <c r="A1" s="15" t="s">
        <v>3158</v>
      </c>
      <c r="D1" s="15" t="s">
        <v>3157</v>
      </c>
      <c r="J1" s="15" t="s">
        <v>3159</v>
      </c>
    </row>
    <row r="2" spans="1:11" x14ac:dyDescent="0.25">
      <c r="A2" s="8" t="s">
        <v>3150</v>
      </c>
      <c r="B2" t="s">
        <v>3149</v>
      </c>
      <c r="D2" s="8" t="s">
        <v>7</v>
      </c>
      <c r="E2" t="s">
        <v>3149</v>
      </c>
      <c r="G2" s="8" t="s">
        <v>5</v>
      </c>
      <c r="H2" t="s">
        <v>3151</v>
      </c>
      <c r="J2" s="8" t="s">
        <v>3155</v>
      </c>
      <c r="K2" t="s">
        <v>3154</v>
      </c>
    </row>
    <row r="3" spans="1:11" x14ac:dyDescent="0.25">
      <c r="A3" s="9" t="s">
        <v>75</v>
      </c>
      <c r="B3" s="10">
        <v>175246</v>
      </c>
      <c r="D3" s="9" t="s">
        <v>30</v>
      </c>
      <c r="E3" s="10">
        <v>153759</v>
      </c>
      <c r="G3" s="9" t="s">
        <v>75</v>
      </c>
      <c r="H3" s="10">
        <v>199</v>
      </c>
      <c r="J3" s="9" t="s">
        <v>12</v>
      </c>
      <c r="K3" s="10">
        <v>355</v>
      </c>
    </row>
    <row r="4" spans="1:11" x14ac:dyDescent="0.25">
      <c r="A4" s="9" t="s">
        <v>14</v>
      </c>
      <c r="B4" s="10">
        <v>176813</v>
      </c>
      <c r="D4" s="9" t="s">
        <v>41</v>
      </c>
      <c r="E4" s="10">
        <v>156011</v>
      </c>
      <c r="G4" s="9" t="s">
        <v>14</v>
      </c>
      <c r="H4" s="10">
        <v>208</v>
      </c>
      <c r="J4" s="9" t="s">
        <v>45</v>
      </c>
      <c r="K4" s="10">
        <v>309</v>
      </c>
    </row>
    <row r="5" spans="1:11" x14ac:dyDescent="0.25">
      <c r="A5" s="9" t="s">
        <v>29</v>
      </c>
      <c r="B5" s="10">
        <v>166929</v>
      </c>
      <c r="D5" s="9" t="s">
        <v>24</v>
      </c>
      <c r="E5" s="10">
        <v>177105</v>
      </c>
      <c r="G5" s="9" t="s">
        <v>29</v>
      </c>
      <c r="H5" s="10">
        <v>196</v>
      </c>
      <c r="J5" s="9" t="s">
        <v>20</v>
      </c>
      <c r="K5" s="10">
        <v>336</v>
      </c>
    </row>
    <row r="6" spans="1:11" x14ac:dyDescent="0.25">
      <c r="A6" s="9" t="s">
        <v>40</v>
      </c>
      <c r="B6" s="10">
        <v>166484</v>
      </c>
      <c r="D6" s="9" t="s">
        <v>16</v>
      </c>
      <c r="E6" s="10">
        <v>163059</v>
      </c>
      <c r="G6" s="9" t="s">
        <v>40</v>
      </c>
      <c r="H6" s="10">
        <v>198</v>
      </c>
      <c r="J6" s="9" t="s">
        <v>3148</v>
      </c>
      <c r="K6" s="10">
        <v>1000</v>
      </c>
    </row>
    <row r="7" spans="1:11" x14ac:dyDescent="0.25">
      <c r="A7" s="9" t="s">
        <v>22</v>
      </c>
      <c r="B7" s="10">
        <v>124078</v>
      </c>
      <c r="D7" s="9" t="s">
        <v>55</v>
      </c>
      <c r="E7" s="10">
        <v>159616</v>
      </c>
      <c r="G7" s="9" t="s">
        <v>22</v>
      </c>
      <c r="H7" s="10">
        <v>199</v>
      </c>
    </row>
    <row r="8" spans="1:11" x14ac:dyDescent="0.25">
      <c r="A8" s="9" t="s">
        <v>3148</v>
      </c>
      <c r="B8" s="10">
        <v>809550</v>
      </c>
      <c r="D8" s="9" t="s">
        <v>3148</v>
      </c>
      <c r="E8" s="10">
        <v>809550</v>
      </c>
      <c r="G8" s="9" t="s">
        <v>3148</v>
      </c>
      <c r="H8" s="10">
        <v>1000</v>
      </c>
    </row>
    <row r="12" spans="1:11" ht="18.75" x14ac:dyDescent="0.3">
      <c r="A12" s="15" t="s">
        <v>3156</v>
      </c>
    </row>
    <row r="13" spans="1:11" x14ac:dyDescent="0.25">
      <c r="A13" s="8" t="s">
        <v>5</v>
      </c>
      <c r="B13" t="s">
        <v>3149</v>
      </c>
    </row>
    <row r="14" spans="1:11" x14ac:dyDescent="0.25">
      <c r="A14" s="9" t="s">
        <v>75</v>
      </c>
      <c r="B14" s="10">
        <v>175246</v>
      </c>
    </row>
    <row r="15" spans="1:11" x14ac:dyDescent="0.25">
      <c r="A15" s="9" t="s">
        <v>14</v>
      </c>
      <c r="B15" s="10">
        <v>176813</v>
      </c>
    </row>
    <row r="16" spans="1:11" x14ac:dyDescent="0.25">
      <c r="A16" s="9" t="s">
        <v>29</v>
      </c>
      <c r="B16" s="10">
        <v>166929</v>
      </c>
    </row>
    <row r="17" spans="1:2" x14ac:dyDescent="0.25">
      <c r="A17" s="9" t="s">
        <v>40</v>
      </c>
      <c r="B17" s="10">
        <v>166484</v>
      </c>
    </row>
    <row r="18" spans="1:2" x14ac:dyDescent="0.25">
      <c r="A18" s="9" t="s">
        <v>22</v>
      </c>
      <c r="B18" s="10">
        <v>124078</v>
      </c>
    </row>
    <row r="19" spans="1:2" x14ac:dyDescent="0.25">
      <c r="A19" s="9" t="s">
        <v>3148</v>
      </c>
      <c r="B19" s="10">
        <v>809550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BigData_Ecommerce_Clickstream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2026-01-14T05:42:34Z</dcterms:created>
  <dcterms:modified xsi:type="dcterms:W3CDTF">2026-01-14T08:44:04Z</dcterms:modified>
</cp:coreProperties>
</file>