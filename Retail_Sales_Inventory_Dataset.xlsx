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ownloads\"/>
    </mc:Choice>
  </mc:AlternateContent>
  <bookViews>
    <workbookView xWindow="0" yWindow="0" windowWidth="24000" windowHeight="9510" activeTab="1"/>
  </bookViews>
  <sheets>
    <sheet name="Retail_Sales_Data" sheetId="1" r:id="rId1"/>
    <sheet name="Dashboard" sheetId="2" r:id="rId2"/>
  </sheets>
  <definedNames>
    <definedName name="_xlnm._FilterDatabase" localSheetId="0" hidden="1">Retail_Sales_Data!$A$1:$O$121</definedName>
    <definedName name="Slicer_Category">#N/A</definedName>
    <definedName name="Slicer_Month">#N/A</definedName>
    <definedName name="Slicer_Stock_Status">#N/A</definedName>
  </definedNames>
  <calcPr calcId="162913"/>
  <pivotCaches>
    <pivotCache cacheId="16"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N4" i="1" l="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2" i="1"/>
  <c r="N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3" i="1"/>
  <c r="M2" i="1"/>
  <c r="L3" i="1"/>
  <c r="O3" i="1" s="1"/>
  <c r="L4" i="1"/>
  <c r="O4" i="1" s="1"/>
  <c r="L5" i="1"/>
  <c r="O5" i="1" s="1"/>
  <c r="L6" i="1"/>
  <c r="O6" i="1" s="1"/>
  <c r="L7" i="1"/>
  <c r="O7" i="1" s="1"/>
  <c r="L8" i="1"/>
  <c r="O8" i="1" s="1"/>
  <c r="L9" i="1"/>
  <c r="O9" i="1" s="1"/>
  <c r="L10" i="1"/>
  <c r="O10" i="1" s="1"/>
  <c r="L11" i="1"/>
  <c r="O11" i="1" s="1"/>
  <c r="L12" i="1"/>
  <c r="O12" i="1" s="1"/>
  <c r="L13" i="1"/>
  <c r="O13" i="1" s="1"/>
  <c r="L14" i="1"/>
  <c r="O14" i="1" s="1"/>
  <c r="L15" i="1"/>
  <c r="O15" i="1" s="1"/>
  <c r="L16" i="1"/>
  <c r="O16" i="1" s="1"/>
  <c r="L17" i="1"/>
  <c r="O17" i="1" s="1"/>
  <c r="L18" i="1"/>
  <c r="O18" i="1" s="1"/>
  <c r="L19" i="1"/>
  <c r="O19" i="1" s="1"/>
  <c r="L20" i="1"/>
  <c r="O20" i="1" s="1"/>
  <c r="L21" i="1"/>
  <c r="O21" i="1" s="1"/>
  <c r="L22" i="1"/>
  <c r="O22" i="1" s="1"/>
  <c r="L23" i="1"/>
  <c r="O23" i="1" s="1"/>
  <c r="L24" i="1"/>
  <c r="O24" i="1" s="1"/>
  <c r="L25" i="1"/>
  <c r="O25" i="1" s="1"/>
  <c r="L26" i="1"/>
  <c r="O26" i="1" s="1"/>
  <c r="L27" i="1"/>
  <c r="O27" i="1" s="1"/>
  <c r="L28" i="1"/>
  <c r="O28" i="1" s="1"/>
  <c r="L29" i="1"/>
  <c r="O29" i="1" s="1"/>
  <c r="L30" i="1"/>
  <c r="O30" i="1" s="1"/>
  <c r="L31" i="1"/>
  <c r="O31" i="1" s="1"/>
  <c r="L32" i="1"/>
  <c r="O32" i="1" s="1"/>
  <c r="L33" i="1"/>
  <c r="O33" i="1" s="1"/>
  <c r="L34" i="1"/>
  <c r="O34" i="1" s="1"/>
  <c r="L35" i="1"/>
  <c r="O35" i="1" s="1"/>
  <c r="L36" i="1"/>
  <c r="O36" i="1" s="1"/>
  <c r="L37" i="1"/>
  <c r="O37" i="1" s="1"/>
  <c r="L38" i="1"/>
  <c r="O38" i="1" s="1"/>
  <c r="L39" i="1"/>
  <c r="O39" i="1" s="1"/>
  <c r="L40" i="1"/>
  <c r="O40" i="1" s="1"/>
  <c r="L41" i="1"/>
  <c r="O41" i="1" s="1"/>
  <c r="L42" i="1"/>
  <c r="O42" i="1" s="1"/>
  <c r="L43" i="1"/>
  <c r="O43" i="1" s="1"/>
  <c r="L44" i="1"/>
  <c r="O44" i="1" s="1"/>
  <c r="L45" i="1"/>
  <c r="O45" i="1" s="1"/>
  <c r="L46" i="1"/>
  <c r="O46" i="1" s="1"/>
  <c r="L47" i="1"/>
  <c r="O47" i="1" s="1"/>
  <c r="L48" i="1"/>
  <c r="O48" i="1" s="1"/>
  <c r="L49" i="1"/>
  <c r="O49" i="1" s="1"/>
  <c r="L50" i="1"/>
  <c r="O50" i="1" s="1"/>
  <c r="L51" i="1"/>
  <c r="O51" i="1" s="1"/>
  <c r="L52" i="1"/>
  <c r="O52" i="1" s="1"/>
  <c r="L53" i="1"/>
  <c r="O53" i="1" s="1"/>
  <c r="L54" i="1"/>
  <c r="O54" i="1" s="1"/>
  <c r="L55" i="1"/>
  <c r="O55" i="1" s="1"/>
  <c r="L56" i="1"/>
  <c r="O56" i="1" s="1"/>
  <c r="L57" i="1"/>
  <c r="O57" i="1" s="1"/>
  <c r="L58" i="1"/>
  <c r="O58" i="1" s="1"/>
  <c r="L59" i="1"/>
  <c r="O59" i="1" s="1"/>
  <c r="L60" i="1"/>
  <c r="O60" i="1" s="1"/>
  <c r="L61" i="1"/>
  <c r="O61" i="1" s="1"/>
  <c r="L62" i="1"/>
  <c r="O62" i="1" s="1"/>
  <c r="L63" i="1"/>
  <c r="O63" i="1" s="1"/>
  <c r="L64" i="1"/>
  <c r="O64" i="1" s="1"/>
  <c r="L65" i="1"/>
  <c r="O65" i="1" s="1"/>
  <c r="L66" i="1"/>
  <c r="O66" i="1" s="1"/>
  <c r="L67" i="1"/>
  <c r="O67" i="1" s="1"/>
  <c r="L68" i="1"/>
  <c r="O68" i="1" s="1"/>
  <c r="L69" i="1"/>
  <c r="O69" i="1" s="1"/>
  <c r="L70" i="1"/>
  <c r="O70" i="1" s="1"/>
  <c r="L71" i="1"/>
  <c r="O71" i="1" s="1"/>
  <c r="L72" i="1"/>
  <c r="O72" i="1" s="1"/>
  <c r="L73" i="1"/>
  <c r="O73" i="1" s="1"/>
  <c r="L74" i="1"/>
  <c r="O74" i="1" s="1"/>
  <c r="L75" i="1"/>
  <c r="O75" i="1" s="1"/>
  <c r="L76" i="1"/>
  <c r="O76" i="1" s="1"/>
  <c r="L77" i="1"/>
  <c r="O77" i="1" s="1"/>
  <c r="L78" i="1"/>
  <c r="O78" i="1" s="1"/>
  <c r="L79" i="1"/>
  <c r="O79" i="1" s="1"/>
  <c r="L80" i="1"/>
  <c r="O80" i="1" s="1"/>
  <c r="L81" i="1"/>
  <c r="O81" i="1" s="1"/>
  <c r="L82" i="1"/>
  <c r="O82" i="1" s="1"/>
  <c r="L83" i="1"/>
  <c r="O83" i="1" s="1"/>
  <c r="L84" i="1"/>
  <c r="O84" i="1" s="1"/>
  <c r="L85" i="1"/>
  <c r="O85" i="1" s="1"/>
  <c r="L86" i="1"/>
  <c r="O86" i="1" s="1"/>
  <c r="L87" i="1"/>
  <c r="O87" i="1" s="1"/>
  <c r="L88" i="1"/>
  <c r="O88" i="1" s="1"/>
  <c r="L89" i="1"/>
  <c r="O89" i="1" s="1"/>
  <c r="L90" i="1"/>
  <c r="O90" i="1" s="1"/>
  <c r="L91" i="1"/>
  <c r="O91" i="1" s="1"/>
  <c r="L92" i="1"/>
  <c r="O92" i="1" s="1"/>
  <c r="L93" i="1"/>
  <c r="O93" i="1" s="1"/>
  <c r="L94" i="1"/>
  <c r="O94" i="1" s="1"/>
  <c r="L95" i="1"/>
  <c r="O95" i="1" s="1"/>
  <c r="L96" i="1"/>
  <c r="O96" i="1" s="1"/>
  <c r="L97" i="1"/>
  <c r="O97" i="1" s="1"/>
  <c r="L98" i="1"/>
  <c r="O98" i="1" s="1"/>
  <c r="L99" i="1"/>
  <c r="O99" i="1" s="1"/>
  <c r="L100" i="1"/>
  <c r="O100" i="1" s="1"/>
  <c r="L101" i="1"/>
  <c r="O101" i="1" s="1"/>
  <c r="L102" i="1"/>
  <c r="O102" i="1" s="1"/>
  <c r="L103" i="1"/>
  <c r="O103" i="1" s="1"/>
  <c r="L104" i="1"/>
  <c r="O104" i="1" s="1"/>
  <c r="L105" i="1"/>
  <c r="O105" i="1" s="1"/>
  <c r="L106" i="1"/>
  <c r="O106" i="1" s="1"/>
  <c r="L107" i="1"/>
  <c r="O107" i="1" s="1"/>
  <c r="L108" i="1"/>
  <c r="O108" i="1" s="1"/>
  <c r="L109" i="1"/>
  <c r="O109" i="1" s="1"/>
  <c r="L110" i="1"/>
  <c r="O110" i="1" s="1"/>
  <c r="L111" i="1"/>
  <c r="O111" i="1" s="1"/>
  <c r="L112" i="1"/>
  <c r="O112" i="1" s="1"/>
  <c r="L113" i="1"/>
  <c r="O113" i="1" s="1"/>
  <c r="L114" i="1"/>
  <c r="O114" i="1" s="1"/>
  <c r="L115" i="1"/>
  <c r="O115" i="1" s="1"/>
  <c r="L116" i="1"/>
  <c r="O116" i="1" s="1"/>
  <c r="L117" i="1"/>
  <c r="O117" i="1" s="1"/>
  <c r="L118" i="1"/>
  <c r="O118" i="1" s="1"/>
  <c r="L119" i="1"/>
  <c r="O119" i="1" s="1"/>
  <c r="L120" i="1"/>
  <c r="O120" i="1" s="1"/>
  <c r="L121" i="1"/>
  <c r="O121" i="1" s="1"/>
  <c r="L2" i="1"/>
  <c r="O2" i="1" s="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2" i="1"/>
</calcChain>
</file>

<file path=xl/sharedStrings.xml><?xml version="1.0" encoding="utf-8"?>
<sst xmlns="http://schemas.openxmlformats.org/spreadsheetml/2006/main" count="655" uniqueCount="262">
  <si>
    <t>Order_ID</t>
  </si>
  <si>
    <t>Order_Date</t>
  </si>
  <si>
    <t>Product_ID</t>
  </si>
  <si>
    <t>Product_Name</t>
  </si>
  <si>
    <t>Category</t>
  </si>
  <si>
    <t>Cost_Price</t>
  </si>
  <si>
    <t>Selling_Price</t>
  </si>
  <si>
    <t>Quantity</t>
  </si>
  <si>
    <t>Stock_Available</t>
  </si>
  <si>
    <t>Reorder_Level</t>
  </si>
  <si>
    <t>O0001</t>
  </si>
  <si>
    <t>2024-06-05</t>
  </si>
  <si>
    <t>P201</t>
  </si>
  <si>
    <t>Rice</t>
  </si>
  <si>
    <t>Grocery</t>
  </si>
  <si>
    <t>O0002</t>
  </si>
  <si>
    <t>2024-04-14</t>
  </si>
  <si>
    <t>P103</t>
  </si>
  <si>
    <t>Headphones</t>
  </si>
  <si>
    <t>Electronics</t>
  </si>
  <si>
    <t>O0003</t>
  </si>
  <si>
    <t>2024-05-22</t>
  </si>
  <si>
    <t>O0004</t>
  </si>
  <si>
    <t>2024-05-14</t>
  </si>
  <si>
    <t>P301</t>
  </si>
  <si>
    <t>T-Shirt</t>
  </si>
  <si>
    <t>Clothing</t>
  </si>
  <si>
    <t>O0005</t>
  </si>
  <si>
    <t>2024-04-17</t>
  </si>
  <si>
    <t>O0006</t>
  </si>
  <si>
    <t>2024-03-08</t>
  </si>
  <si>
    <t>P203</t>
  </si>
  <si>
    <t>Sugar</t>
  </si>
  <si>
    <t>O0007</t>
  </si>
  <si>
    <t>2024-03-19</t>
  </si>
  <si>
    <t>P302</t>
  </si>
  <si>
    <t>Jeans</t>
  </si>
  <si>
    <t>O0008</t>
  </si>
  <si>
    <t>2024-03-14</t>
  </si>
  <si>
    <t>O0009</t>
  </si>
  <si>
    <t>2024-03-27</t>
  </si>
  <si>
    <t>P202</t>
  </si>
  <si>
    <t>Oil</t>
  </si>
  <si>
    <t>O0010</t>
  </si>
  <si>
    <t>2024-06-06</t>
  </si>
  <si>
    <t>P102</t>
  </si>
  <si>
    <t>Mobile</t>
  </si>
  <si>
    <t>O0011</t>
  </si>
  <si>
    <t>2024-03-15</t>
  </si>
  <si>
    <t>O0012</t>
  </si>
  <si>
    <t>2024-05-30</t>
  </si>
  <si>
    <t>P101</t>
  </si>
  <si>
    <t>Laptop</t>
  </si>
  <si>
    <t>O0013</t>
  </si>
  <si>
    <t>2024-01-18</t>
  </si>
  <si>
    <t>O0014</t>
  </si>
  <si>
    <t>2024-01-12</t>
  </si>
  <si>
    <t>O0015</t>
  </si>
  <si>
    <t>2024-06-13</t>
  </si>
  <si>
    <t>O0016</t>
  </si>
  <si>
    <t>2024-01-28</t>
  </si>
  <si>
    <t>O0017</t>
  </si>
  <si>
    <t>2024-02-20</t>
  </si>
  <si>
    <t>O0018</t>
  </si>
  <si>
    <t>2024-04-11</t>
  </si>
  <si>
    <t>O0019</t>
  </si>
  <si>
    <t>2024-03-01</t>
  </si>
  <si>
    <t>O0020</t>
  </si>
  <si>
    <t>O0021</t>
  </si>
  <si>
    <t>2024-03-29</t>
  </si>
  <si>
    <t>O0022</t>
  </si>
  <si>
    <t>2024-03-04</t>
  </si>
  <si>
    <t>O0023</t>
  </si>
  <si>
    <t>2024-06-29</t>
  </si>
  <si>
    <t>P303</t>
  </si>
  <si>
    <t>Jacket</t>
  </si>
  <si>
    <t>O0024</t>
  </si>
  <si>
    <t>2024-05-18</t>
  </si>
  <si>
    <t>O0025</t>
  </si>
  <si>
    <t>2024-06-02</t>
  </si>
  <si>
    <t>O0026</t>
  </si>
  <si>
    <t>2024-06-07</t>
  </si>
  <si>
    <t>O0027</t>
  </si>
  <si>
    <t>2024-02-02</t>
  </si>
  <si>
    <t>O0028</t>
  </si>
  <si>
    <t>2024-05-08</t>
  </si>
  <si>
    <t>O0029</t>
  </si>
  <si>
    <t>2024-05-27</t>
  </si>
  <si>
    <t>O0030</t>
  </si>
  <si>
    <t>O0031</t>
  </si>
  <si>
    <t>2024-01-06</t>
  </si>
  <si>
    <t>O0032</t>
  </si>
  <si>
    <t>2024-04-18</t>
  </si>
  <si>
    <t>O0033</t>
  </si>
  <si>
    <t>2024-02-11</t>
  </si>
  <si>
    <t>O0034</t>
  </si>
  <si>
    <t>2024-01-08</t>
  </si>
  <si>
    <t>O0035</t>
  </si>
  <si>
    <t>2024-03-25</t>
  </si>
  <si>
    <t>O0036</t>
  </si>
  <si>
    <t>2024-03-31</t>
  </si>
  <si>
    <t>O0037</t>
  </si>
  <si>
    <t>O0038</t>
  </si>
  <si>
    <t>2024-03-23</t>
  </si>
  <si>
    <t>O0039</t>
  </si>
  <si>
    <t>2024-06-01</t>
  </si>
  <si>
    <t>O0040</t>
  </si>
  <si>
    <t>2024-02-12</t>
  </si>
  <si>
    <t>O0041</t>
  </si>
  <si>
    <t>2024-06-18</t>
  </si>
  <si>
    <t>O0042</t>
  </si>
  <si>
    <t>2024-04-19</t>
  </si>
  <si>
    <t>O0043</t>
  </si>
  <si>
    <t>2024-03-16</t>
  </si>
  <si>
    <t>O0044</t>
  </si>
  <si>
    <t>2024-06-26</t>
  </si>
  <si>
    <t>O0045</t>
  </si>
  <si>
    <t>2024-01-22</t>
  </si>
  <si>
    <t>O0046</t>
  </si>
  <si>
    <t>2024-01-04</t>
  </si>
  <si>
    <t>O0047</t>
  </si>
  <si>
    <t>2024-04-07</t>
  </si>
  <si>
    <t>O0048</t>
  </si>
  <si>
    <t>O0049</t>
  </si>
  <si>
    <t>2024-04-05</t>
  </si>
  <si>
    <t>O0050</t>
  </si>
  <si>
    <t>2024-01-02</t>
  </si>
  <si>
    <t>O0051</t>
  </si>
  <si>
    <t>2024-01-11</t>
  </si>
  <si>
    <t>O0052</t>
  </si>
  <si>
    <t>2024-06-22</t>
  </si>
  <si>
    <t>O0053</t>
  </si>
  <si>
    <t>2024-03-07</t>
  </si>
  <si>
    <t>O0054</t>
  </si>
  <si>
    <t>2024-04-02</t>
  </si>
  <si>
    <t>O0055</t>
  </si>
  <si>
    <t>2024-01-23</t>
  </si>
  <si>
    <t>O0056</t>
  </si>
  <si>
    <t>2024-01-24</t>
  </si>
  <si>
    <t>O0057</t>
  </si>
  <si>
    <t>2024-02-19</t>
  </si>
  <si>
    <t>O0058</t>
  </si>
  <si>
    <t>O0059</t>
  </si>
  <si>
    <t>2024-05-25</t>
  </si>
  <si>
    <t>O0060</t>
  </si>
  <si>
    <t>2024-01-27</t>
  </si>
  <si>
    <t>O0061</t>
  </si>
  <si>
    <t>2024-06-10</t>
  </si>
  <si>
    <t>O0062</t>
  </si>
  <si>
    <t>O0063</t>
  </si>
  <si>
    <t>2024-01-13</t>
  </si>
  <si>
    <t>O0064</t>
  </si>
  <si>
    <t>O0065</t>
  </si>
  <si>
    <t>O0066</t>
  </si>
  <si>
    <t>2024-02-18</t>
  </si>
  <si>
    <t>O0067</t>
  </si>
  <si>
    <t>O0068</t>
  </si>
  <si>
    <t>2024-06-14</t>
  </si>
  <si>
    <t>O0069</t>
  </si>
  <si>
    <t>O0070</t>
  </si>
  <si>
    <t>O0071</t>
  </si>
  <si>
    <t>O0072</t>
  </si>
  <si>
    <t>2024-02-29</t>
  </si>
  <si>
    <t>O0073</t>
  </si>
  <si>
    <t>2024-02-15</t>
  </si>
  <si>
    <t>O0074</t>
  </si>
  <si>
    <t>2024-02-13</t>
  </si>
  <si>
    <t>O0075</t>
  </si>
  <si>
    <t>2024-06-09</t>
  </si>
  <si>
    <t>O0076</t>
  </si>
  <si>
    <t>2024-02-21</t>
  </si>
  <si>
    <t>O0077</t>
  </si>
  <si>
    <t>2024-02-09</t>
  </si>
  <si>
    <t>O0078</t>
  </si>
  <si>
    <t>2024-01-09</t>
  </si>
  <si>
    <t>O0079</t>
  </si>
  <si>
    <t>2024-02-10</t>
  </si>
  <si>
    <t>O0080</t>
  </si>
  <si>
    <t>2024-02-05</t>
  </si>
  <si>
    <t>O0081</t>
  </si>
  <si>
    <t>2024-01-25</t>
  </si>
  <si>
    <t>O0082</t>
  </si>
  <si>
    <t>O0083</t>
  </si>
  <si>
    <t>2024-03-24</t>
  </si>
  <si>
    <t>O0084</t>
  </si>
  <si>
    <t>O0085</t>
  </si>
  <si>
    <t>O0086</t>
  </si>
  <si>
    <t>2024-05-28</t>
  </si>
  <si>
    <t>O0087</t>
  </si>
  <si>
    <t>2024-03-20</t>
  </si>
  <si>
    <t>O0088</t>
  </si>
  <si>
    <t>O0089</t>
  </si>
  <si>
    <t>2024-03-12</t>
  </si>
  <si>
    <t>O0090</t>
  </si>
  <si>
    <t>2024-02-01</t>
  </si>
  <si>
    <t>O0091</t>
  </si>
  <si>
    <t>2024-01-26</t>
  </si>
  <si>
    <t>O0092</t>
  </si>
  <si>
    <t>2024-02-26</t>
  </si>
  <si>
    <t>O0093</t>
  </si>
  <si>
    <t>O0094</t>
  </si>
  <si>
    <t>2024-03-05</t>
  </si>
  <si>
    <t>O0095</t>
  </si>
  <si>
    <t>O0096</t>
  </si>
  <si>
    <t>O0097</t>
  </si>
  <si>
    <t>2024-03-10</t>
  </si>
  <si>
    <t>O0098</t>
  </si>
  <si>
    <t>2024-05-13</t>
  </si>
  <si>
    <t>O0099</t>
  </si>
  <si>
    <t>O0100</t>
  </si>
  <si>
    <t>2024-05-20</t>
  </si>
  <si>
    <t>O0101</t>
  </si>
  <si>
    <t>O0102</t>
  </si>
  <si>
    <t>2024-02-28</t>
  </si>
  <si>
    <t>O0103</t>
  </si>
  <si>
    <t>2024-02-03</t>
  </si>
  <si>
    <t>O0104</t>
  </si>
  <si>
    <t>2024-06-27</t>
  </si>
  <si>
    <t>O0105</t>
  </si>
  <si>
    <t>O0106</t>
  </si>
  <si>
    <t>O0107</t>
  </si>
  <si>
    <t>2024-06-23</t>
  </si>
  <si>
    <t>O0108</t>
  </si>
  <si>
    <t>2024-05-12</t>
  </si>
  <si>
    <t>O0109</t>
  </si>
  <si>
    <t>O0110</t>
  </si>
  <si>
    <t>2024-04-10</t>
  </si>
  <si>
    <t>O0111</t>
  </si>
  <si>
    <t>2024-05-01</t>
  </si>
  <si>
    <t>O0112</t>
  </si>
  <si>
    <t>O0113</t>
  </si>
  <si>
    <t>2024-01-10</t>
  </si>
  <si>
    <t>O0114</t>
  </si>
  <si>
    <t>2024-01-05</t>
  </si>
  <si>
    <t>O0115</t>
  </si>
  <si>
    <t>2024-05-11</t>
  </si>
  <si>
    <t>O0116</t>
  </si>
  <si>
    <t>O0117</t>
  </si>
  <si>
    <t>2024-01-03</t>
  </si>
  <si>
    <t>O0118</t>
  </si>
  <si>
    <t>O0119</t>
  </si>
  <si>
    <t>2024-02-14</t>
  </si>
  <si>
    <t>O0120</t>
  </si>
  <si>
    <t>Revenue</t>
  </si>
  <si>
    <t>Profit</t>
  </si>
  <si>
    <t>Stock_Status</t>
  </si>
  <si>
    <t>Month</t>
  </si>
  <si>
    <t>High Profit Flag</t>
  </si>
  <si>
    <t>01/2024</t>
  </si>
  <si>
    <t>02/2024</t>
  </si>
  <si>
    <t>03/2024</t>
  </si>
  <si>
    <t>04/2024</t>
  </si>
  <si>
    <t>05/2024</t>
  </si>
  <si>
    <t>06/2024</t>
  </si>
  <si>
    <t>Grand Total</t>
  </si>
  <si>
    <t>Sum of Revenue</t>
  </si>
  <si>
    <t>Sum of Profit</t>
  </si>
  <si>
    <t>Ok</t>
  </si>
  <si>
    <t>Reorder</t>
  </si>
  <si>
    <t>Count of High Profit Flag</t>
  </si>
  <si>
    <t>Count of Product_ID</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</si>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</sst>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1" xfId="0" applyBorder="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vertical="center"/>
    </xf>
    <xf numFmtId="0" fontId="1" fillId="0" borderId="0" xfId="0" applyFont="1" applyAlignment="1">
      <alignment vertical="center"/>
    </xf>
    <xf numFmtId="0" fontId="0" fillId="0" borderId="1" xfId="0" applyBorder="1" applyAlignment="1">
      <alignment vertical="center"/>
    </xf>
    <xf numFmtId="0" fontId="0" fillId="0" borderId="0" xfId="0" applyAlignment="1">
      <alignment vertical="center"/>
    </xf>
    <xf numFmtId="0" fontId="1" fillId="0" borderId="1" xfId="0" applyFont="1" applyBorder="1"/>
    <xf numFmtId="0" fontId="1" fillId="0" borderId="1" xfId="0" applyFont="1" applyBorder="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[Retail_Sales_Inventory_Dataset.xlsx]Dashboard!PivotTable1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Monthly Sales Trend</a:t>
            </a:r>
            <a:endParaRPr lang="en-US"/>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none"/>
        </c:marker>
      </c:pivotFmt>
    </c:pivotFmts>
    <c:plotArea>
      <c:layout/>
      <c:lineChart>
        <c:grouping val="percentStacked"/>
        <c:varyColors val="0"/>
        <c:ser>
          <c:idx val="0"/>
          <c:order val="0"/>
          <c:tx>
            <c:strRef>
              <c:f>Dashboard!$B$1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Dashboard!$A$2:$A$8</c:f>
              <c:strCache>
                <c:ptCount val="6"/>
                <c:pt idx="0">
                  <c:v>01/2024</c:v>
                </c:pt>
                <c:pt idx="1">
                  <c:v>02/2024</c:v>
                </c:pt>
                <c:pt idx="2">
                  <c:v>03/2024</c:v>
                </c:pt>
                <c:pt idx="3">
                  <c:v>04/2024</c:v>
                </c:pt>
                <c:pt idx="4">
                  <c:v>05/2024</c:v>
                </c:pt>
                <c:pt idx="5">
                  <c:v>06/2024</c:v>
                </c:pt>
              </c:strCache>
            </c:strRef>
          </c:cat>
          <c:val>
            <c:numRef>
              <c:f>Dashboard!$B$2:$B$8</c:f>
              <c:numCache>
                <c:formatCode>General</c:formatCode>
                <c:ptCount val="6"/>
                <c:pt idx="0">
                  <c:v>174431</c:v>
                </c:pt>
                <c:pt idx="1">
                  <c:v>182594</c:v>
                </c:pt>
                <c:pt idx="2">
                  <c:v>226111</c:v>
                </c:pt>
                <c:pt idx="3">
                  <c:v>70275</c:v>
                </c:pt>
                <c:pt idx="4">
                  <c:v>146964</c:v>
                </c:pt>
                <c:pt idx="5">
                  <c:v>132441</c:v>
                </c:pt>
              </c:numCache>
            </c:numRef>
          </c:val>
          <c:smooth val="0"/>
          <c:extLst>
            <c:ext xmlns:c16="http://schemas.microsoft.com/office/drawing/2014/chart" uri="{C3380CC4-5D6E-409C-BE32-E72D297353CC}">
              <c16:uniqueId val="{00000000-5BF8-4D9F-811D-E7ED34CBBB36}"/>
            </c:ext>
          </c:extLst>
        </c:ser>
        <c:dLbls>
          <c:showLegendKey val="0"/>
          <c:showVal val="0"/>
          <c:showCatName val="0"/>
          <c:showSerName val="0"/>
          <c:showPercent val="0"/>
          <c:showBubbleSize val="0"/>
        </c:dLbls>
        <c:smooth val="0"/>
        <c:axId val="425985472"/>
        <c:axId val="425986784"/>
      </c:lineChart>
      <c:catAx>
        <c:axId val="4259854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5986784"/>
        <c:crosses val="autoZero"/>
        <c:auto val="1"/>
        <c:lblAlgn val="ctr"/>
        <c:lblOffset val="100"/>
        <c:noMultiLvlLbl val="0"/>
      </c:catAx>
      <c:valAx>
        <c:axId val="4259867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5985472"/>
        <c:crosses val="autoZero"/>
        <c:crossBetween val="between"/>
      </c:valAx>
      <c:spPr>
        <a:noFill/>
        <a:ln>
          <a:noFill/>
        </a:ln>
        <a:effectLst/>
      </c:spPr>
    </c:plotArea>
    <c:plotVisOnly val="1"/>
    <c:dispBlanksAs val="zero"/>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[Retail_Sales_Inventory_Dataset.xlsx]Dashboard!PivotTable2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Profit Category Wise</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Dashboard!$E$1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Dashboard!$D$2:$D$5</c:f>
              <c:strCache>
                <c:ptCount val="3"/>
                <c:pt idx="0">
                  <c:v>Clothing</c:v>
                </c:pt>
                <c:pt idx="1">
                  <c:v>Electronics</c:v>
                </c:pt>
                <c:pt idx="2">
                  <c:v>Grocery</c:v>
                </c:pt>
              </c:strCache>
            </c:strRef>
          </c:cat>
          <c:val>
            <c:numRef>
              <c:f>Dashboard!$E$2:$E$5</c:f>
              <c:numCache>
                <c:formatCode>General</c:formatCode>
                <c:ptCount val="3"/>
                <c:pt idx="0">
                  <c:v>57467</c:v>
                </c:pt>
                <c:pt idx="1">
                  <c:v>78699</c:v>
                </c:pt>
                <c:pt idx="2">
                  <c:v>52229</c:v>
                </c:pt>
              </c:numCache>
            </c:numRef>
          </c:val>
          <c:extLst>
            <c:ext xmlns:c16="http://schemas.microsoft.com/office/drawing/2014/chart" uri="{C3380CC4-5D6E-409C-BE32-E72D297353CC}">
              <c16:uniqueId val="{00000000-409F-4C01-8D2D-1CE8E3848539}"/>
            </c:ext>
          </c:extLst>
        </c:ser>
        <c:dLbls>
          <c:dLblPos val="ctr"/>
          <c:showLegendKey val="0"/>
          <c:showVal val="0"/>
          <c:showCatName val="0"/>
          <c:showSerName val="0"/>
          <c:showPercent val="1"/>
          <c:showBubbleSize val="0"/>
          <c:showLeaderLines val="1"/>
        </c:dLbls>
      </c:pie3DChart>
      <c:spPr>
        <a:noFill/>
        <a:ln>
          <a:noFill/>
        </a:ln>
        <a:effectLst/>
      </c:spPr>
    </c:plotArea>
    <c:legend>
      <c:legendPos val="b"/>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[Retail_Sales_Inventory_Dataset.xlsx]Dashboard!PivotTable5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Stock_Status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Dashboard!$N$1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Dashboard!$M$2:$M$4</c:f>
              <c:strCache>
                <c:ptCount val="2"/>
                <c:pt idx="0">
                  <c:v>Ok</c:v>
                </c:pt>
                <c:pt idx="1">
                  <c:v>Reorder</c:v>
                </c:pt>
              </c:strCache>
            </c:strRef>
          </c:cat>
          <c:val>
            <c:numRef>
              <c:f>Dashboard!$N$2:$N$4</c:f>
              <c:numCache>
                <c:formatCode>General</c:formatCode>
                <c:ptCount val="2"/>
                <c:pt idx="0">
                  <c:v>27</c:v>
                </c:pt>
                <c:pt idx="1">
                  <c:v>93</c:v>
                </c:pt>
              </c:numCache>
            </c:numRef>
          </c:val>
          <c:extLst>
            <c:ext xmlns:c16="http://schemas.microsoft.com/office/drawing/2014/chart" uri="{C3380CC4-5D6E-409C-BE32-E72D297353CC}">
              <c16:uniqueId val="{00000000-37E9-4B0F-9D21-13F7ADE3786F}"/>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[Retail_Sales_Inventory_Dataset.xlsx]Dashboard!PivotTable3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Profit_Product_Wise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Dashboard!$H$1</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Dashboard!$G$2:$G$7</c:f>
              <c:strCache>
                <c:ptCount val="5"/>
                <c:pt idx="0">
                  <c:v>Jeans</c:v>
                </c:pt>
                <c:pt idx="1">
                  <c:v>Laptop</c:v>
                </c:pt>
                <c:pt idx="2">
                  <c:v>Mobile</c:v>
                </c:pt>
                <c:pt idx="3">
                  <c:v>Headphones</c:v>
                </c:pt>
                <c:pt idx="4">
                  <c:v>Sugar</c:v>
                </c:pt>
              </c:strCache>
            </c:strRef>
          </c:cat>
          <c:val>
            <c:numRef>
              <c:f>Dashboard!$H$2:$H$7</c:f>
              <c:numCache>
                <c:formatCode>General</c:formatCode>
                <c:ptCount val="5"/>
                <c:pt idx="0">
                  <c:v>32991</c:v>
                </c:pt>
                <c:pt idx="1">
                  <c:v>28804</c:v>
                </c:pt>
                <c:pt idx="2">
                  <c:v>27875</c:v>
                </c:pt>
                <c:pt idx="3">
                  <c:v>22020</c:v>
                </c:pt>
                <c:pt idx="4">
                  <c:v>20356</c:v>
                </c:pt>
              </c:numCache>
            </c:numRef>
          </c:val>
          <c:extLst>
            <c:ext xmlns:c16="http://schemas.microsoft.com/office/drawing/2014/chart" uri="{C3380CC4-5D6E-409C-BE32-E72D297353CC}">
              <c16:uniqueId val="{00000000-B924-4561-ADDE-86B0219506DE}"/>
            </c:ext>
          </c:extLst>
        </c:ser>
        <c:dLbls>
          <c:dLblPos val="inEnd"/>
          <c:showLegendKey val="0"/>
          <c:showVal val="1"/>
          <c:showCatName val="0"/>
          <c:showSerName val="0"/>
          <c:showPercent val="0"/>
          <c:showBubbleSize val="0"/>
        </c:dLbls>
        <c:gapWidth val="100"/>
        <c:overlap val="-24"/>
        <c:axId val="433386584"/>
        <c:axId val="433387568"/>
      </c:barChart>
      <c:catAx>
        <c:axId val="43338658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Product_Name</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3387568"/>
        <c:crosses val="autoZero"/>
        <c:auto val="1"/>
        <c:lblAlgn val="ctr"/>
        <c:lblOffset val="100"/>
        <c:noMultiLvlLbl val="0"/>
      </c:catAx>
      <c:valAx>
        <c:axId val="43338756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 Of Profit</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338658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57150</xdr:colOff>
      <xdr:row>10</xdr:row>
      <xdr:rowOff>66675</xdr:rowOff>
    </xdr:from>
    <xdr:to>
      <xdr:col>5</xdr:col>
      <xdr:colOff>390525</xdr:colOff>
      <xdr:row>24</xdr:row>
      <xdr:rowOff>142875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266700</xdr:colOff>
      <xdr:row>11</xdr:row>
      <xdr:rowOff>152400</xdr:rowOff>
    </xdr:from>
    <xdr:to>
      <xdr:col>11</xdr:col>
      <xdr:colOff>114300</xdr:colOff>
      <xdr:row>26</xdr:row>
      <xdr:rowOff>38100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123825</xdr:colOff>
      <xdr:row>26</xdr:row>
      <xdr:rowOff>171450</xdr:rowOff>
    </xdr:from>
    <xdr:to>
      <xdr:col>5</xdr:col>
      <xdr:colOff>457200</xdr:colOff>
      <xdr:row>41</xdr:row>
      <xdr:rowOff>57150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219075</xdr:colOff>
      <xdr:row>26</xdr:row>
      <xdr:rowOff>152400</xdr:rowOff>
    </xdr:from>
    <xdr:to>
      <xdr:col>11</xdr:col>
      <xdr:colOff>66675</xdr:colOff>
      <xdr:row>41</xdr:row>
      <xdr:rowOff>38100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523875</xdr:colOff>
      <xdr:row>5</xdr:row>
      <xdr:rowOff>171450</xdr:rowOff>
    </xdr:from>
    <xdr:to>
      <xdr:col>13</xdr:col>
      <xdr:colOff>933450</xdr:colOff>
      <xdr:row>19</xdr:row>
      <xdr:rowOff>28575</xdr:rowOff>
    </xdr:to>
    <mc:AlternateContent xmlns:mc="http://schemas.openxmlformats.org/markup-compatibility/2006">
      <mc:Choice xmlns:a14="http://schemas.microsoft.com/office/drawing/2010/main" Requires="a14">
        <xdr:graphicFrame macro="">
          <xdr:nvGraphicFramePr>
            <xdr:cNvPr id="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896475" y="1123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514350</xdr:colOff>
      <xdr:row>19</xdr:row>
      <xdr:rowOff>180975</xdr:rowOff>
    </xdr:from>
    <xdr:to>
      <xdr:col>13</xdr:col>
      <xdr:colOff>923925</xdr:colOff>
      <xdr:row>33</xdr:row>
      <xdr:rowOff>38100</xdr:rowOff>
    </xdr:to>
    <mc:AlternateContent xmlns:mc="http://schemas.openxmlformats.org/markup-compatibility/2006">
      <mc:Choice xmlns:a14="http://schemas.microsoft.com/office/drawing/2010/main" Requires="a14">
        <xdr:graphicFrame macro="">
          <xdr:nvGraphicFramePr>
            <xdr:cNvPr id="8"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886950" y="3800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485775</xdr:colOff>
      <xdr:row>33</xdr:row>
      <xdr:rowOff>171450</xdr:rowOff>
    </xdr:from>
    <xdr:to>
      <xdr:col>13</xdr:col>
      <xdr:colOff>895350</xdr:colOff>
      <xdr:row>41</xdr:row>
      <xdr:rowOff>19050</xdr:rowOff>
    </xdr:to>
    <mc:AlternateContent xmlns:mc="http://schemas.openxmlformats.org/markup-compatibility/2006">
      <mc:Choice xmlns:a14="http://schemas.microsoft.com/office/drawing/2010/main" Requires="a14">
        <xdr:graphicFrame macro="">
          <xdr:nvGraphicFramePr>
            <xdr:cNvPr id="9" name="Stock_Status"/>
            <xdr:cNvGraphicFramePr/>
          </xdr:nvGraphicFramePr>
          <xdr:xfrm>
            <a:off x="0" y="0"/>
            <a:ext cx="0" cy="0"/>
          </xdr:xfrm>
          <a:graphic>
            <a:graphicData uri="http://schemas.microsoft.com/office/drawing/2010/slicer">
              <sle:slicer xmlns:sle="http://schemas.microsoft.com/office/drawing/2010/slicer" name="Stock_Status"/>
            </a:graphicData>
          </a:graphic>
        </xdr:graphicFrame>
      </mc:Choice>
      <mc:Fallback>
        <xdr:sp macro="" textlink="">
          <xdr:nvSpPr>
            <xdr:cNvPr id="0" name=""/>
            <xdr:cNvSpPr>
              <a:spLocks noTextEdit="1"/>
            </xdr:cNvSpPr>
          </xdr:nvSpPr>
          <xdr:spPr>
            <a:xfrm>
              <a:off x="9858375" y="6457950"/>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36.433322569443" createdVersion="6" refreshedVersion="6" minRefreshableVersion="3" recordCount="120">
  <cacheSource type="worksheet">
    <worksheetSource ref="A1:O121" sheet="Retail_Sales_Data"/>
  </cacheSource>
  <cacheFields count="15">
    <cacheField name="Order_ID" numFmtId="0">
      <sharedItems/>
    </cacheField>
    <cacheField name="Order_Date" numFmtId="0">
      <sharedItems/>
    </cacheField>
    <cacheField name="Product_ID" numFmtId="0">
      <sharedItems count="9">
        <s v="P201"/>
        <s v="P103"/>
        <s v="P301"/>
        <s v="P203"/>
        <s v="P302"/>
        <s v="P202"/>
        <s v="P102"/>
        <s v="P101"/>
        <s v="P303"/>
      </sharedItems>
    </cacheField>
    <cacheField name="Product_Name" numFmtId="0">
      <sharedItems count="9">
        <s v="Rice"/>
        <s v="Headphones"/>
        <s v="T-Shirt"/>
        <s v="Sugar"/>
        <s v="Jeans"/>
        <s v="Oil"/>
        <s v="Mobile"/>
        <s v="Laptop"/>
        <s v="Jacket"/>
      </sharedItems>
    </cacheField>
    <cacheField name="Category" numFmtId="0">
      <sharedItems count="3">
        <s v="Grocery"/>
        <s v="Electronics"/>
        <s v="Clothing"/>
      </sharedItems>
    </cacheField>
    <cacheField name="Cost_Price" numFmtId="0">
      <sharedItems containsSemiMixedTypes="0" containsString="0" containsNumber="1" containsInteger="1" minValue="209" maxValue="1996"/>
    </cacheField>
    <cacheField name="Selling_Price" numFmtId="0">
      <sharedItems containsSemiMixedTypes="0" containsString="0" containsNumber="1" containsInteger="1" minValue="416" maxValue="2335"/>
    </cacheField>
    <cacheField name="Quantity" numFmtId="0">
      <sharedItems containsSemiMixedTypes="0" containsString="0" containsNumber="1" containsInteger="1" minValue="1" maxValue="10"/>
    </cacheField>
    <cacheField name="Stock_Available" numFmtId="0">
      <sharedItems containsSemiMixedTypes="0" containsString="0" containsNumber="1" containsInteger="1" minValue="1" maxValue="100"/>
    </cacheField>
    <cacheField name="Reorder_Level" numFmtId="0">
      <sharedItems containsSemiMixedTypes="0" containsString="0" containsNumber="1" containsInteger="1" minValue="10" maxValue="30"/>
    </cacheField>
    <cacheField name="Revenue" numFmtId="0">
      <sharedItems containsSemiMixedTypes="0" containsString="0" containsNumber="1" containsInteger="1" minValue="684" maxValue="21940"/>
    </cacheField>
    <cacheField name="Profit" numFmtId="0">
      <sharedItems containsSemiMixedTypes="0" containsString="0" containsNumber="1" containsInteger="1" minValue="58" maxValue="4770" count="117">
        <n v="1215"/>
        <n v="2460"/>
        <n v="2520"/>
        <n v="840"/>
        <n v="1310"/>
        <n v="963"/>
        <n v="1335"/>
        <n v="978"/>
        <n v="4310"/>
        <n v="425"/>
        <n v="438"/>
        <n v="3537"/>
        <n v="792"/>
        <n v="950"/>
        <n v="1820"/>
        <n v="4650"/>
        <n v="3429"/>
        <n v="2720"/>
        <n v="3064"/>
        <n v="1896"/>
        <n v="2450"/>
        <n v="3915"/>
        <n v="1535"/>
        <n v="630"/>
        <n v="3582"/>
        <n v="760"/>
        <n v="2285"/>
        <n v="2792"/>
        <n v="1912"/>
        <n v="1240"/>
        <n v="2562"/>
        <n v="294"/>
        <n v="480"/>
        <n v="223"/>
        <n v="3241"/>
        <n v="1464"/>
        <n v="400"/>
        <n v="276"/>
        <n v="2043"/>
        <n v="1152"/>
        <n v="1422"/>
        <n v="966"/>
        <n v="714"/>
        <n v="1340"/>
        <n v="2030"/>
        <n v="486"/>
        <n v="3280"/>
        <n v="1488"/>
        <n v="249"/>
        <n v="2310"/>
        <n v="540"/>
        <n v="891"/>
        <n v="1716"/>
        <n v="1044"/>
        <n v="2408"/>
        <n v="1440"/>
        <n v="2056"/>
        <n v="824"/>
        <n v="732"/>
        <n v="2870"/>
        <n v="274"/>
        <n v="1608"/>
        <n v="624"/>
        <n v="707"/>
        <n v="1704"/>
        <n v="191"/>
        <n v="1120"/>
        <n v="488"/>
        <n v="618"/>
        <n v="900"/>
        <n v="3640"/>
        <n v="1250"/>
        <n v="1197"/>
        <n v="650"/>
        <n v="1855"/>
        <n v="2274"/>
        <n v="2466"/>
        <n v="2868"/>
        <n v="2996"/>
        <n v="588"/>
        <n v="810"/>
        <n v="532"/>
        <n v="862"/>
        <n v="1989"/>
        <n v="780"/>
        <n v="826"/>
        <n v="327"/>
        <n v="1892"/>
        <n v="3120"/>
        <n v="567"/>
        <n v="1730"/>
        <n v="960"/>
        <n v="1060"/>
        <n v="2565"/>
        <n v="3059"/>
        <n v="504"/>
        <n v="4770"/>
        <n v="2968"/>
        <n v="1185"/>
        <n v="201"/>
        <n v="4000"/>
        <n v="198"/>
        <n v="2034"/>
        <n v="2480"/>
        <n v="972"/>
        <n v="858"/>
        <n v="1285"/>
        <n v="585"/>
        <n v="2616"/>
        <n v="782"/>
        <n v="329"/>
        <n v="2888"/>
        <n v="58"/>
        <n v="3130"/>
        <n v="656"/>
        <n v="648"/>
        <n v="2120"/>
      </sharedItems>
    </cacheField>
    <cacheField name="Stock_Status" numFmtId="0">
      <sharedItems count="2">
        <s v="Reorder"/>
        <s v="Ok"/>
      </sharedItems>
    </cacheField>
    <cacheField name="Month" numFmtId="0">
      <sharedItems count="6">
        <s v="06/2024"/>
        <s v="04/2024"/>
        <s v="05/2024"/>
        <s v="03/2024"/>
        <s v="01/2024"/>
        <s v="02/2024"/>
      </sharedItems>
    </cacheField>
    <cacheField name="High Profit Flag" numFmtId="0">
      <sharedItems count="2">
        <s v="Low Profit"/>
        <s v="High Profit "/>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
  <r>
    <s v="O0001"/>
    <s v="2024-06-05"/>
    <x v="0"/>
    <x v="0"/>
    <x v="0"/>
    <n v="720"/>
    <n v="855"/>
    <n v="9"/>
    <n v="83"/>
    <n v="19"/>
    <n v="7695"/>
    <x v="0"/>
    <x v="0"/>
    <x v="0"/>
    <x v="0"/>
  </r>
  <r>
    <s v="O0002"/>
    <s v="2024-04-14"/>
    <x v="1"/>
    <x v="1"/>
    <x v="1"/>
    <n v="803"/>
    <n v="1295"/>
    <n v="5"/>
    <n v="15"/>
    <n v="10"/>
    <n v="6475"/>
    <x v="1"/>
    <x v="0"/>
    <x v="1"/>
    <x v="1"/>
  </r>
  <r>
    <s v="O0003"/>
    <s v="2024-05-22"/>
    <x v="0"/>
    <x v="0"/>
    <x v="0"/>
    <n v="1772"/>
    <n v="2052"/>
    <n v="9"/>
    <n v="46"/>
    <n v="20"/>
    <n v="18468"/>
    <x v="2"/>
    <x v="0"/>
    <x v="2"/>
    <x v="1"/>
  </r>
  <r>
    <s v="O0004"/>
    <s v="2024-05-14"/>
    <x v="2"/>
    <x v="2"/>
    <x v="2"/>
    <n v="1164"/>
    <n v="1269"/>
    <n v="8"/>
    <n v="15"/>
    <n v="15"/>
    <n v="10152"/>
    <x v="3"/>
    <x v="0"/>
    <x v="2"/>
    <x v="0"/>
  </r>
  <r>
    <s v="O0005"/>
    <s v="2024-04-17"/>
    <x v="2"/>
    <x v="2"/>
    <x v="2"/>
    <n v="1013"/>
    <n v="1144"/>
    <n v="10"/>
    <n v="28"/>
    <n v="15"/>
    <n v="11440"/>
    <x v="4"/>
    <x v="0"/>
    <x v="1"/>
    <x v="0"/>
  </r>
  <r>
    <s v="O0006"/>
    <s v="2024-03-08"/>
    <x v="3"/>
    <x v="3"/>
    <x v="0"/>
    <n v="470"/>
    <n v="577"/>
    <n v="9"/>
    <n v="38"/>
    <n v="27"/>
    <n v="5193"/>
    <x v="5"/>
    <x v="0"/>
    <x v="3"/>
    <x v="0"/>
  </r>
  <r>
    <s v="O0007"/>
    <s v="2024-03-19"/>
    <x v="4"/>
    <x v="4"/>
    <x v="2"/>
    <n v="1707"/>
    <n v="1974"/>
    <n v="5"/>
    <n v="53"/>
    <n v="16"/>
    <n v="9870"/>
    <x v="6"/>
    <x v="0"/>
    <x v="3"/>
    <x v="0"/>
  </r>
  <r>
    <s v="O0008"/>
    <s v="2024-03-14"/>
    <x v="2"/>
    <x v="2"/>
    <x v="2"/>
    <n v="1495"/>
    <n v="1821"/>
    <n v="3"/>
    <n v="2"/>
    <n v="13"/>
    <n v="5463"/>
    <x v="7"/>
    <x v="1"/>
    <x v="3"/>
    <x v="0"/>
  </r>
  <r>
    <s v="O0009"/>
    <s v="2024-03-27"/>
    <x v="5"/>
    <x v="5"/>
    <x v="0"/>
    <n v="1740"/>
    <n v="2171"/>
    <n v="10"/>
    <n v="88"/>
    <n v="14"/>
    <n v="21710"/>
    <x v="8"/>
    <x v="0"/>
    <x v="3"/>
    <x v="1"/>
  </r>
  <r>
    <s v="O0010"/>
    <s v="2024-06-06"/>
    <x v="6"/>
    <x v="6"/>
    <x v="1"/>
    <n v="1133"/>
    <n v="1218"/>
    <n v="5"/>
    <n v="72"/>
    <n v="15"/>
    <n v="6090"/>
    <x v="9"/>
    <x v="0"/>
    <x v="0"/>
    <x v="0"/>
  </r>
  <r>
    <s v="O0011"/>
    <s v="2024-03-15"/>
    <x v="4"/>
    <x v="4"/>
    <x v="2"/>
    <n v="1757"/>
    <n v="1830"/>
    <n v="6"/>
    <n v="98"/>
    <n v="20"/>
    <n v="10980"/>
    <x v="10"/>
    <x v="0"/>
    <x v="3"/>
    <x v="0"/>
  </r>
  <r>
    <s v="O0012"/>
    <s v="2024-05-30"/>
    <x v="7"/>
    <x v="7"/>
    <x v="1"/>
    <n v="272"/>
    <n v="665"/>
    <n v="9"/>
    <n v="85"/>
    <n v="27"/>
    <n v="5985"/>
    <x v="11"/>
    <x v="0"/>
    <x v="2"/>
    <x v="1"/>
  </r>
  <r>
    <s v="O0013"/>
    <s v="2024-01-18"/>
    <x v="0"/>
    <x v="0"/>
    <x v="0"/>
    <n v="301"/>
    <n v="565"/>
    <n v="3"/>
    <n v="1"/>
    <n v="18"/>
    <n v="1695"/>
    <x v="12"/>
    <x v="1"/>
    <x v="4"/>
    <x v="0"/>
  </r>
  <r>
    <s v="O0014"/>
    <s v="2024-01-12"/>
    <x v="6"/>
    <x v="6"/>
    <x v="1"/>
    <n v="486"/>
    <n v="961"/>
    <n v="2"/>
    <n v="68"/>
    <n v="17"/>
    <n v="1922"/>
    <x v="13"/>
    <x v="0"/>
    <x v="4"/>
    <x v="0"/>
  </r>
  <r>
    <s v="O0015"/>
    <s v="2024-06-13"/>
    <x v="4"/>
    <x v="4"/>
    <x v="2"/>
    <n v="1657"/>
    <n v="2112"/>
    <n v="4"/>
    <n v="100"/>
    <n v="13"/>
    <n v="8448"/>
    <x v="14"/>
    <x v="0"/>
    <x v="0"/>
    <x v="0"/>
  </r>
  <r>
    <s v="O0016"/>
    <s v="2024-01-28"/>
    <x v="7"/>
    <x v="7"/>
    <x v="1"/>
    <n v="947"/>
    <n v="1412"/>
    <n v="10"/>
    <n v="39"/>
    <n v="12"/>
    <n v="14120"/>
    <x v="15"/>
    <x v="0"/>
    <x v="4"/>
    <x v="1"/>
  </r>
  <r>
    <s v="O0017"/>
    <s v="2024-02-20"/>
    <x v="1"/>
    <x v="1"/>
    <x v="1"/>
    <n v="412"/>
    <n v="793"/>
    <n v="9"/>
    <n v="10"/>
    <n v="14"/>
    <n v="7137"/>
    <x v="16"/>
    <x v="1"/>
    <x v="5"/>
    <x v="1"/>
  </r>
  <r>
    <s v="O0018"/>
    <s v="2024-04-11"/>
    <x v="7"/>
    <x v="7"/>
    <x v="1"/>
    <n v="498"/>
    <n v="770"/>
    <n v="10"/>
    <n v="4"/>
    <n v="25"/>
    <n v="7700"/>
    <x v="17"/>
    <x v="1"/>
    <x v="1"/>
    <x v="1"/>
  </r>
  <r>
    <s v="O0019"/>
    <s v="2024-03-01"/>
    <x v="4"/>
    <x v="4"/>
    <x v="2"/>
    <n v="848"/>
    <n v="1231"/>
    <n v="8"/>
    <n v="52"/>
    <n v="12"/>
    <n v="9848"/>
    <x v="18"/>
    <x v="0"/>
    <x v="3"/>
    <x v="1"/>
  </r>
  <r>
    <s v="O0020"/>
    <s v="2024-06-13"/>
    <x v="6"/>
    <x v="6"/>
    <x v="1"/>
    <n v="399"/>
    <n v="636"/>
    <n v="8"/>
    <n v="38"/>
    <n v="27"/>
    <n v="5088"/>
    <x v="19"/>
    <x v="0"/>
    <x v="0"/>
    <x v="0"/>
  </r>
  <r>
    <s v="O0021"/>
    <s v="2024-03-29"/>
    <x v="6"/>
    <x v="6"/>
    <x v="1"/>
    <n v="234"/>
    <n v="479"/>
    <n v="10"/>
    <n v="47"/>
    <n v="12"/>
    <n v="4790"/>
    <x v="20"/>
    <x v="0"/>
    <x v="3"/>
    <x v="1"/>
  </r>
  <r>
    <s v="O0022"/>
    <s v="2024-03-04"/>
    <x v="6"/>
    <x v="6"/>
    <x v="1"/>
    <n v="701"/>
    <n v="1136"/>
    <n v="9"/>
    <n v="76"/>
    <n v="27"/>
    <n v="10224"/>
    <x v="21"/>
    <x v="0"/>
    <x v="3"/>
    <x v="1"/>
  </r>
  <r>
    <s v="O0023"/>
    <s v="2024-06-29"/>
    <x v="8"/>
    <x v="8"/>
    <x v="2"/>
    <n v="440"/>
    <n v="747"/>
    <n v="5"/>
    <n v="8"/>
    <n v="20"/>
    <n v="3735"/>
    <x v="22"/>
    <x v="1"/>
    <x v="0"/>
    <x v="0"/>
  </r>
  <r>
    <s v="O0024"/>
    <s v="2024-05-18"/>
    <x v="3"/>
    <x v="3"/>
    <x v="0"/>
    <n v="1899"/>
    <n v="2109"/>
    <n v="3"/>
    <n v="5"/>
    <n v="11"/>
    <n v="6327"/>
    <x v="23"/>
    <x v="1"/>
    <x v="2"/>
    <x v="0"/>
  </r>
  <r>
    <s v="O0025"/>
    <s v="2024-06-02"/>
    <x v="7"/>
    <x v="7"/>
    <x v="1"/>
    <n v="577"/>
    <n v="975"/>
    <n v="9"/>
    <n v="10"/>
    <n v="26"/>
    <n v="8775"/>
    <x v="24"/>
    <x v="1"/>
    <x v="0"/>
    <x v="1"/>
  </r>
  <r>
    <s v="O0026"/>
    <s v="2024-06-07"/>
    <x v="6"/>
    <x v="6"/>
    <x v="1"/>
    <n v="769"/>
    <n v="959"/>
    <n v="4"/>
    <n v="57"/>
    <n v="26"/>
    <n v="3836"/>
    <x v="25"/>
    <x v="0"/>
    <x v="0"/>
    <x v="0"/>
  </r>
  <r>
    <s v="O0027"/>
    <s v="2024-02-02"/>
    <x v="4"/>
    <x v="4"/>
    <x v="2"/>
    <n v="1352"/>
    <n v="1809"/>
    <n v="5"/>
    <n v="13"/>
    <n v="25"/>
    <n v="9045"/>
    <x v="26"/>
    <x v="1"/>
    <x v="5"/>
    <x v="1"/>
  </r>
  <r>
    <s v="O0028"/>
    <s v="2024-05-08"/>
    <x v="4"/>
    <x v="4"/>
    <x v="2"/>
    <n v="988"/>
    <n v="1337"/>
    <n v="8"/>
    <n v="12"/>
    <n v="30"/>
    <n v="10696"/>
    <x v="27"/>
    <x v="1"/>
    <x v="2"/>
    <x v="1"/>
  </r>
  <r>
    <s v="O0029"/>
    <s v="2024-05-27"/>
    <x v="1"/>
    <x v="1"/>
    <x v="1"/>
    <n v="1630"/>
    <n v="1869"/>
    <n v="8"/>
    <n v="18"/>
    <n v="26"/>
    <n v="14952"/>
    <x v="28"/>
    <x v="1"/>
    <x v="2"/>
    <x v="0"/>
  </r>
  <r>
    <s v="O0030"/>
    <s v="2024-05-22"/>
    <x v="7"/>
    <x v="7"/>
    <x v="1"/>
    <n v="852"/>
    <n v="976"/>
    <n v="10"/>
    <n v="2"/>
    <n v="24"/>
    <n v="9760"/>
    <x v="29"/>
    <x v="1"/>
    <x v="2"/>
    <x v="0"/>
  </r>
  <r>
    <s v="O0031"/>
    <s v="2024-01-06"/>
    <x v="4"/>
    <x v="4"/>
    <x v="2"/>
    <n v="962"/>
    <n v="1389"/>
    <n v="6"/>
    <n v="20"/>
    <n v="23"/>
    <n v="8334"/>
    <x v="30"/>
    <x v="1"/>
    <x v="4"/>
    <x v="1"/>
  </r>
  <r>
    <s v="O0032"/>
    <s v="2024-04-18"/>
    <x v="0"/>
    <x v="0"/>
    <x v="0"/>
    <n v="1860"/>
    <n v="2154"/>
    <n v="1"/>
    <n v="31"/>
    <n v="24"/>
    <n v="2154"/>
    <x v="31"/>
    <x v="0"/>
    <x v="1"/>
    <x v="0"/>
  </r>
  <r>
    <s v="O0033"/>
    <s v="2024-02-11"/>
    <x v="2"/>
    <x v="2"/>
    <x v="2"/>
    <n v="918"/>
    <n v="998"/>
    <n v="6"/>
    <n v="53"/>
    <n v="15"/>
    <n v="5988"/>
    <x v="32"/>
    <x v="0"/>
    <x v="5"/>
    <x v="0"/>
  </r>
  <r>
    <s v="O0034"/>
    <s v="2024-01-08"/>
    <x v="5"/>
    <x v="5"/>
    <x v="0"/>
    <n v="1344"/>
    <n v="1567"/>
    <n v="1"/>
    <n v="74"/>
    <n v="27"/>
    <n v="1567"/>
    <x v="33"/>
    <x v="0"/>
    <x v="4"/>
    <x v="0"/>
  </r>
  <r>
    <s v="O0035"/>
    <s v="2024-03-25"/>
    <x v="4"/>
    <x v="4"/>
    <x v="2"/>
    <n v="1243"/>
    <n v="1706"/>
    <n v="7"/>
    <n v="55"/>
    <n v="27"/>
    <n v="11942"/>
    <x v="34"/>
    <x v="0"/>
    <x v="3"/>
    <x v="1"/>
  </r>
  <r>
    <s v="O0036"/>
    <s v="2024-03-31"/>
    <x v="3"/>
    <x v="3"/>
    <x v="0"/>
    <n v="1587"/>
    <n v="1831"/>
    <n v="6"/>
    <n v="79"/>
    <n v="16"/>
    <n v="10986"/>
    <x v="35"/>
    <x v="0"/>
    <x v="3"/>
    <x v="0"/>
  </r>
  <r>
    <s v="O0037"/>
    <s v="2024-05-18"/>
    <x v="1"/>
    <x v="1"/>
    <x v="1"/>
    <n v="589"/>
    <n v="639"/>
    <n v="8"/>
    <n v="48"/>
    <n v="15"/>
    <n v="5112"/>
    <x v="36"/>
    <x v="0"/>
    <x v="2"/>
    <x v="0"/>
  </r>
  <r>
    <s v="O0038"/>
    <s v="2024-03-23"/>
    <x v="6"/>
    <x v="6"/>
    <x v="1"/>
    <n v="1253"/>
    <n v="1345"/>
    <n v="3"/>
    <n v="64"/>
    <n v="16"/>
    <n v="4035"/>
    <x v="37"/>
    <x v="0"/>
    <x v="3"/>
    <x v="0"/>
  </r>
  <r>
    <s v="O0039"/>
    <s v="2024-06-01"/>
    <x v="6"/>
    <x v="6"/>
    <x v="1"/>
    <n v="1034"/>
    <n v="1261"/>
    <n v="9"/>
    <n v="83"/>
    <n v="21"/>
    <n v="11349"/>
    <x v="38"/>
    <x v="0"/>
    <x v="0"/>
    <x v="1"/>
  </r>
  <r>
    <s v="O0040"/>
    <s v="2024-02-12"/>
    <x v="5"/>
    <x v="5"/>
    <x v="0"/>
    <n v="1234"/>
    <n v="1522"/>
    <n v="4"/>
    <n v="7"/>
    <n v="23"/>
    <n v="6088"/>
    <x v="39"/>
    <x v="1"/>
    <x v="5"/>
    <x v="0"/>
  </r>
  <r>
    <s v="O0041"/>
    <s v="2024-06-18"/>
    <x v="6"/>
    <x v="6"/>
    <x v="1"/>
    <n v="1170"/>
    <n v="1644"/>
    <n v="3"/>
    <n v="30"/>
    <n v="15"/>
    <n v="4932"/>
    <x v="40"/>
    <x v="0"/>
    <x v="0"/>
    <x v="0"/>
  </r>
  <r>
    <s v="O0042"/>
    <s v="2024-04-19"/>
    <x v="6"/>
    <x v="6"/>
    <x v="1"/>
    <n v="1333"/>
    <n v="1494"/>
    <n v="6"/>
    <n v="100"/>
    <n v="29"/>
    <n v="8964"/>
    <x v="41"/>
    <x v="0"/>
    <x v="1"/>
    <x v="0"/>
  </r>
  <r>
    <s v="O0043"/>
    <s v="2024-03-16"/>
    <x v="5"/>
    <x v="5"/>
    <x v="0"/>
    <n v="1679"/>
    <n v="1917"/>
    <n v="3"/>
    <n v="50"/>
    <n v="12"/>
    <n v="5751"/>
    <x v="42"/>
    <x v="0"/>
    <x v="3"/>
    <x v="0"/>
  </r>
  <r>
    <s v="O0044"/>
    <s v="2024-06-26"/>
    <x v="7"/>
    <x v="7"/>
    <x v="1"/>
    <n v="1529"/>
    <n v="1864"/>
    <n v="4"/>
    <n v="56"/>
    <n v="23"/>
    <n v="7456"/>
    <x v="43"/>
    <x v="0"/>
    <x v="0"/>
    <x v="0"/>
  </r>
  <r>
    <s v="O0045"/>
    <s v="2024-01-22"/>
    <x v="0"/>
    <x v="0"/>
    <x v="0"/>
    <n v="1628"/>
    <n v="1831"/>
    <n v="10"/>
    <n v="17"/>
    <n v="16"/>
    <n v="18310"/>
    <x v="44"/>
    <x v="0"/>
    <x v="4"/>
    <x v="1"/>
  </r>
  <r>
    <s v="O0046"/>
    <s v="2024-01-04"/>
    <x v="6"/>
    <x v="6"/>
    <x v="1"/>
    <n v="451"/>
    <n v="937"/>
    <n v="1"/>
    <n v="74"/>
    <n v="25"/>
    <n v="937"/>
    <x v="45"/>
    <x v="0"/>
    <x v="4"/>
    <x v="0"/>
  </r>
  <r>
    <s v="O0047"/>
    <s v="2024-04-07"/>
    <x v="4"/>
    <x v="4"/>
    <x v="2"/>
    <n v="1416"/>
    <n v="1826"/>
    <n v="8"/>
    <n v="31"/>
    <n v="29"/>
    <n v="14608"/>
    <x v="46"/>
    <x v="0"/>
    <x v="1"/>
    <x v="1"/>
  </r>
  <r>
    <s v="O0048"/>
    <s v="2024-04-07"/>
    <x v="0"/>
    <x v="0"/>
    <x v="0"/>
    <n v="490"/>
    <n v="986"/>
    <n v="3"/>
    <n v="52"/>
    <n v="20"/>
    <n v="2958"/>
    <x v="47"/>
    <x v="0"/>
    <x v="1"/>
    <x v="0"/>
  </r>
  <r>
    <s v="O0049"/>
    <s v="2024-04-05"/>
    <x v="7"/>
    <x v="7"/>
    <x v="1"/>
    <n v="668"/>
    <n v="917"/>
    <n v="1"/>
    <n v="23"/>
    <n v="21"/>
    <n v="917"/>
    <x v="48"/>
    <x v="0"/>
    <x v="1"/>
    <x v="0"/>
  </r>
  <r>
    <s v="O0050"/>
    <s v="2024-01-02"/>
    <x v="8"/>
    <x v="8"/>
    <x v="2"/>
    <n v="1530"/>
    <n v="1915"/>
    <n v="6"/>
    <n v="85"/>
    <n v="20"/>
    <n v="11490"/>
    <x v="49"/>
    <x v="0"/>
    <x v="4"/>
    <x v="1"/>
  </r>
  <r>
    <s v="O0051"/>
    <s v="2024-01-11"/>
    <x v="8"/>
    <x v="8"/>
    <x v="2"/>
    <n v="575"/>
    <n v="629"/>
    <n v="10"/>
    <n v="25"/>
    <n v="14"/>
    <n v="6290"/>
    <x v="50"/>
    <x v="0"/>
    <x v="4"/>
    <x v="0"/>
  </r>
  <r>
    <s v="O0052"/>
    <s v="2024-06-22"/>
    <x v="1"/>
    <x v="1"/>
    <x v="1"/>
    <n v="481"/>
    <n v="580"/>
    <n v="9"/>
    <n v="47"/>
    <n v="28"/>
    <n v="5220"/>
    <x v="51"/>
    <x v="0"/>
    <x v="0"/>
    <x v="0"/>
  </r>
  <r>
    <s v="O0053"/>
    <s v="2024-03-07"/>
    <x v="1"/>
    <x v="1"/>
    <x v="1"/>
    <n v="1517"/>
    <n v="1946"/>
    <n v="4"/>
    <n v="45"/>
    <n v="14"/>
    <n v="7784"/>
    <x v="52"/>
    <x v="0"/>
    <x v="3"/>
    <x v="0"/>
  </r>
  <r>
    <s v="O0054"/>
    <s v="2024-04-02"/>
    <x v="1"/>
    <x v="1"/>
    <x v="1"/>
    <n v="935"/>
    <n v="1283"/>
    <n v="3"/>
    <n v="56"/>
    <n v="29"/>
    <n v="3849"/>
    <x v="53"/>
    <x v="0"/>
    <x v="1"/>
    <x v="0"/>
  </r>
  <r>
    <s v="O0055"/>
    <s v="2024-01-23"/>
    <x v="6"/>
    <x v="6"/>
    <x v="1"/>
    <n v="1705"/>
    <n v="2049"/>
    <n v="7"/>
    <n v="49"/>
    <n v="28"/>
    <n v="14343"/>
    <x v="54"/>
    <x v="0"/>
    <x v="4"/>
    <x v="1"/>
  </r>
  <r>
    <s v="O0056"/>
    <s v="2024-01-24"/>
    <x v="1"/>
    <x v="1"/>
    <x v="1"/>
    <n v="1749"/>
    <n v="1929"/>
    <n v="8"/>
    <n v="50"/>
    <n v="30"/>
    <n v="15432"/>
    <x v="55"/>
    <x v="0"/>
    <x v="4"/>
    <x v="0"/>
  </r>
  <r>
    <s v="O0057"/>
    <s v="2024-02-19"/>
    <x v="6"/>
    <x v="6"/>
    <x v="1"/>
    <n v="425"/>
    <n v="682"/>
    <n v="8"/>
    <n v="33"/>
    <n v="17"/>
    <n v="5456"/>
    <x v="56"/>
    <x v="0"/>
    <x v="5"/>
    <x v="1"/>
  </r>
  <r>
    <s v="O0058"/>
    <s v="2024-03-19"/>
    <x v="5"/>
    <x v="5"/>
    <x v="0"/>
    <n v="683"/>
    <n v="786"/>
    <n v="8"/>
    <n v="75"/>
    <n v="17"/>
    <n v="6288"/>
    <x v="57"/>
    <x v="0"/>
    <x v="3"/>
    <x v="0"/>
  </r>
  <r>
    <s v="O0059"/>
    <s v="2024-05-25"/>
    <x v="7"/>
    <x v="7"/>
    <x v="1"/>
    <n v="280"/>
    <n v="646"/>
    <n v="2"/>
    <n v="82"/>
    <n v="15"/>
    <n v="1292"/>
    <x v="58"/>
    <x v="0"/>
    <x v="2"/>
    <x v="0"/>
  </r>
  <r>
    <s v="O0060"/>
    <s v="2024-01-27"/>
    <x v="4"/>
    <x v="4"/>
    <x v="2"/>
    <n v="1539"/>
    <n v="1949"/>
    <n v="7"/>
    <n v="15"/>
    <n v="26"/>
    <n v="13643"/>
    <x v="59"/>
    <x v="1"/>
    <x v="4"/>
    <x v="1"/>
  </r>
  <r>
    <s v="O0061"/>
    <s v="2024-06-10"/>
    <x v="5"/>
    <x v="5"/>
    <x v="0"/>
    <n v="1242"/>
    <n v="1379"/>
    <n v="2"/>
    <n v="93"/>
    <n v="22"/>
    <n v="2758"/>
    <x v="60"/>
    <x v="0"/>
    <x v="0"/>
    <x v="0"/>
  </r>
  <r>
    <s v="O0062"/>
    <s v="2024-03-07"/>
    <x v="5"/>
    <x v="5"/>
    <x v="0"/>
    <n v="1683"/>
    <n v="1951"/>
    <n v="6"/>
    <n v="21"/>
    <n v="17"/>
    <n v="11706"/>
    <x v="61"/>
    <x v="0"/>
    <x v="3"/>
    <x v="0"/>
  </r>
  <r>
    <s v="O0063"/>
    <s v="2024-01-13"/>
    <x v="1"/>
    <x v="1"/>
    <x v="1"/>
    <n v="929"/>
    <n v="1028"/>
    <n v="9"/>
    <n v="50"/>
    <n v="27"/>
    <n v="9252"/>
    <x v="51"/>
    <x v="0"/>
    <x v="4"/>
    <x v="0"/>
  </r>
  <r>
    <s v="O0064"/>
    <s v="2024-02-19"/>
    <x v="1"/>
    <x v="1"/>
    <x v="1"/>
    <n v="1540"/>
    <n v="1618"/>
    <n v="8"/>
    <n v="92"/>
    <n v="28"/>
    <n v="12944"/>
    <x v="62"/>
    <x v="0"/>
    <x v="5"/>
    <x v="0"/>
  </r>
  <r>
    <s v="O0065"/>
    <s v="2024-06-18"/>
    <x v="3"/>
    <x v="3"/>
    <x v="0"/>
    <n v="611"/>
    <n v="712"/>
    <n v="7"/>
    <n v="7"/>
    <n v="18"/>
    <n v="4984"/>
    <x v="63"/>
    <x v="1"/>
    <x v="0"/>
    <x v="0"/>
  </r>
  <r>
    <s v="O0066"/>
    <s v="2024-02-18"/>
    <x v="6"/>
    <x v="6"/>
    <x v="1"/>
    <n v="1322"/>
    <n v="1535"/>
    <n v="8"/>
    <n v="95"/>
    <n v="24"/>
    <n v="12280"/>
    <x v="64"/>
    <x v="0"/>
    <x v="5"/>
    <x v="0"/>
  </r>
  <r>
    <s v="O0067"/>
    <s v="2024-05-25"/>
    <x v="2"/>
    <x v="2"/>
    <x v="2"/>
    <n v="1870"/>
    <n v="2061"/>
    <n v="1"/>
    <n v="46"/>
    <n v="28"/>
    <n v="2061"/>
    <x v="65"/>
    <x v="0"/>
    <x v="2"/>
    <x v="0"/>
  </r>
  <r>
    <s v="O0068"/>
    <s v="2024-06-14"/>
    <x v="1"/>
    <x v="1"/>
    <x v="1"/>
    <n v="1323"/>
    <n v="1483"/>
    <n v="7"/>
    <n v="18"/>
    <n v="24"/>
    <n v="10381"/>
    <x v="66"/>
    <x v="1"/>
    <x v="0"/>
    <x v="0"/>
  </r>
  <r>
    <s v="O0069"/>
    <s v="2024-06-10"/>
    <x v="5"/>
    <x v="5"/>
    <x v="0"/>
    <n v="1965"/>
    <n v="2209"/>
    <n v="2"/>
    <n v="40"/>
    <n v="25"/>
    <n v="4418"/>
    <x v="67"/>
    <x v="0"/>
    <x v="0"/>
    <x v="0"/>
  </r>
  <r>
    <s v="O0070"/>
    <s v="2024-02-20"/>
    <x v="6"/>
    <x v="6"/>
    <x v="1"/>
    <n v="1826"/>
    <n v="2032"/>
    <n v="3"/>
    <n v="84"/>
    <n v="14"/>
    <n v="6096"/>
    <x v="68"/>
    <x v="0"/>
    <x v="5"/>
    <x v="0"/>
  </r>
  <r>
    <s v="O0071"/>
    <s v="2024-01-02"/>
    <x v="2"/>
    <x v="2"/>
    <x v="2"/>
    <n v="527"/>
    <n v="677"/>
    <n v="6"/>
    <n v="46"/>
    <n v="20"/>
    <n v="4062"/>
    <x v="69"/>
    <x v="0"/>
    <x v="4"/>
    <x v="0"/>
  </r>
  <r>
    <s v="O0072"/>
    <s v="2024-02-29"/>
    <x v="3"/>
    <x v="3"/>
    <x v="0"/>
    <n v="411"/>
    <n v="866"/>
    <n v="8"/>
    <n v="93"/>
    <n v="26"/>
    <n v="6928"/>
    <x v="70"/>
    <x v="0"/>
    <x v="5"/>
    <x v="1"/>
  </r>
  <r>
    <s v="O0073"/>
    <s v="2024-02-15"/>
    <x v="8"/>
    <x v="8"/>
    <x v="2"/>
    <n v="1358"/>
    <n v="1608"/>
    <n v="5"/>
    <n v="16"/>
    <n v="25"/>
    <n v="8040"/>
    <x v="71"/>
    <x v="1"/>
    <x v="5"/>
    <x v="0"/>
  </r>
  <r>
    <s v="O0074"/>
    <s v="2024-02-13"/>
    <x v="6"/>
    <x v="6"/>
    <x v="1"/>
    <n v="1592"/>
    <n v="1991"/>
    <n v="3"/>
    <n v="74"/>
    <n v="25"/>
    <n v="5973"/>
    <x v="72"/>
    <x v="0"/>
    <x v="5"/>
    <x v="0"/>
  </r>
  <r>
    <s v="O0075"/>
    <s v="2024-06-09"/>
    <x v="7"/>
    <x v="7"/>
    <x v="1"/>
    <n v="1504"/>
    <n v="1569"/>
    <n v="10"/>
    <n v="40"/>
    <n v="26"/>
    <n v="15690"/>
    <x v="73"/>
    <x v="0"/>
    <x v="0"/>
    <x v="0"/>
  </r>
  <r>
    <s v="O0076"/>
    <s v="2024-02-21"/>
    <x v="3"/>
    <x v="3"/>
    <x v="0"/>
    <n v="1424"/>
    <n v="1910"/>
    <n v="1"/>
    <n v="24"/>
    <n v="28"/>
    <n v="1910"/>
    <x v="45"/>
    <x v="1"/>
    <x v="5"/>
    <x v="0"/>
  </r>
  <r>
    <s v="O0077"/>
    <s v="2024-02-09"/>
    <x v="4"/>
    <x v="4"/>
    <x v="2"/>
    <n v="1512"/>
    <n v="1777"/>
    <n v="7"/>
    <n v="12"/>
    <n v="16"/>
    <n v="12439"/>
    <x v="74"/>
    <x v="1"/>
    <x v="5"/>
    <x v="0"/>
  </r>
  <r>
    <s v="O0078"/>
    <s v="2024-01-09"/>
    <x v="3"/>
    <x v="3"/>
    <x v="0"/>
    <n v="355"/>
    <n v="734"/>
    <n v="6"/>
    <n v="16"/>
    <n v="14"/>
    <n v="4404"/>
    <x v="75"/>
    <x v="0"/>
    <x v="4"/>
    <x v="1"/>
  </r>
  <r>
    <s v="O0079"/>
    <s v="2024-02-10"/>
    <x v="5"/>
    <x v="5"/>
    <x v="0"/>
    <n v="583"/>
    <n v="994"/>
    <n v="6"/>
    <n v="51"/>
    <n v="24"/>
    <n v="5964"/>
    <x v="76"/>
    <x v="0"/>
    <x v="5"/>
    <x v="1"/>
  </r>
  <r>
    <s v="O0080"/>
    <s v="2024-02-05"/>
    <x v="7"/>
    <x v="7"/>
    <x v="1"/>
    <n v="1476"/>
    <n v="1954"/>
    <n v="6"/>
    <n v="66"/>
    <n v="13"/>
    <n v="11724"/>
    <x v="77"/>
    <x v="0"/>
    <x v="5"/>
    <x v="1"/>
  </r>
  <r>
    <s v="O0081"/>
    <s v="2024-01-25"/>
    <x v="1"/>
    <x v="1"/>
    <x v="1"/>
    <n v="1068"/>
    <n v="1496"/>
    <n v="7"/>
    <n v="54"/>
    <n v="13"/>
    <n v="10472"/>
    <x v="78"/>
    <x v="0"/>
    <x v="4"/>
    <x v="1"/>
  </r>
  <r>
    <s v="O0082"/>
    <s v="2024-03-31"/>
    <x v="7"/>
    <x v="7"/>
    <x v="1"/>
    <n v="890"/>
    <n v="1037"/>
    <n v="4"/>
    <n v="22"/>
    <n v="20"/>
    <n v="4148"/>
    <x v="79"/>
    <x v="0"/>
    <x v="3"/>
    <x v="0"/>
  </r>
  <r>
    <s v="O0083"/>
    <s v="2024-03-24"/>
    <x v="2"/>
    <x v="2"/>
    <x v="2"/>
    <n v="436"/>
    <n v="517"/>
    <n v="10"/>
    <n v="71"/>
    <n v="20"/>
    <n v="5170"/>
    <x v="80"/>
    <x v="0"/>
    <x v="3"/>
    <x v="0"/>
  </r>
  <r>
    <s v="O0084"/>
    <s v="2024-05-30"/>
    <x v="1"/>
    <x v="1"/>
    <x v="1"/>
    <n v="894"/>
    <n v="1027"/>
    <n v="4"/>
    <n v="23"/>
    <n v="22"/>
    <n v="4108"/>
    <x v="81"/>
    <x v="0"/>
    <x v="2"/>
    <x v="0"/>
  </r>
  <r>
    <s v="O0085"/>
    <s v="2024-04-05"/>
    <x v="7"/>
    <x v="7"/>
    <x v="1"/>
    <n v="1731"/>
    <n v="2162"/>
    <n v="2"/>
    <n v="97"/>
    <n v="13"/>
    <n v="4324"/>
    <x v="82"/>
    <x v="0"/>
    <x v="1"/>
    <x v="0"/>
  </r>
  <r>
    <s v="O0086"/>
    <s v="2024-05-28"/>
    <x v="5"/>
    <x v="5"/>
    <x v="0"/>
    <n v="1996"/>
    <n v="2217"/>
    <n v="9"/>
    <n v="13"/>
    <n v="28"/>
    <n v="19953"/>
    <x v="83"/>
    <x v="1"/>
    <x v="2"/>
    <x v="0"/>
  </r>
  <r>
    <s v="O0087"/>
    <s v="2024-03-20"/>
    <x v="0"/>
    <x v="0"/>
    <x v="0"/>
    <n v="856"/>
    <n v="1012"/>
    <n v="5"/>
    <n v="100"/>
    <n v="29"/>
    <n v="5060"/>
    <x v="84"/>
    <x v="0"/>
    <x v="3"/>
    <x v="0"/>
  </r>
  <r>
    <s v="O0088"/>
    <s v="2024-02-09"/>
    <x v="7"/>
    <x v="7"/>
    <x v="1"/>
    <n v="1605"/>
    <n v="1723"/>
    <n v="7"/>
    <n v="84"/>
    <n v="13"/>
    <n v="12061"/>
    <x v="85"/>
    <x v="0"/>
    <x v="5"/>
    <x v="0"/>
  </r>
  <r>
    <s v="O0089"/>
    <s v="2024-03-12"/>
    <x v="0"/>
    <x v="0"/>
    <x v="0"/>
    <n v="1639"/>
    <n v="1748"/>
    <n v="3"/>
    <n v="96"/>
    <n v="30"/>
    <n v="5244"/>
    <x v="86"/>
    <x v="0"/>
    <x v="3"/>
    <x v="0"/>
  </r>
  <r>
    <s v="O0090"/>
    <s v="2024-02-01"/>
    <x v="4"/>
    <x v="4"/>
    <x v="2"/>
    <n v="216"/>
    <n v="689"/>
    <n v="4"/>
    <n v="40"/>
    <n v="14"/>
    <n v="2756"/>
    <x v="87"/>
    <x v="0"/>
    <x v="5"/>
    <x v="0"/>
  </r>
  <r>
    <s v="O0091"/>
    <s v="2024-01-26"/>
    <x v="2"/>
    <x v="2"/>
    <x v="2"/>
    <n v="613"/>
    <n v="925"/>
    <n v="10"/>
    <n v="98"/>
    <n v="10"/>
    <n v="9250"/>
    <x v="88"/>
    <x v="0"/>
    <x v="4"/>
    <x v="1"/>
  </r>
  <r>
    <s v="O0092"/>
    <s v="2024-02-26"/>
    <x v="3"/>
    <x v="3"/>
    <x v="0"/>
    <n v="755"/>
    <n v="836"/>
    <n v="7"/>
    <n v="46"/>
    <n v="29"/>
    <n v="5852"/>
    <x v="89"/>
    <x v="0"/>
    <x v="5"/>
    <x v="0"/>
  </r>
  <r>
    <s v="O0093"/>
    <s v="2024-03-14"/>
    <x v="0"/>
    <x v="0"/>
    <x v="0"/>
    <n v="1474"/>
    <n v="1647"/>
    <n v="10"/>
    <n v="58"/>
    <n v="17"/>
    <n v="16470"/>
    <x v="90"/>
    <x v="0"/>
    <x v="3"/>
    <x v="0"/>
  </r>
  <r>
    <s v="O0094"/>
    <s v="2024-03-05"/>
    <x v="7"/>
    <x v="7"/>
    <x v="1"/>
    <n v="615"/>
    <n v="855"/>
    <n v="4"/>
    <n v="37"/>
    <n v="16"/>
    <n v="3420"/>
    <x v="91"/>
    <x v="0"/>
    <x v="3"/>
    <x v="0"/>
  </r>
  <r>
    <s v="O0095"/>
    <s v="2024-05-28"/>
    <x v="8"/>
    <x v="8"/>
    <x v="2"/>
    <n v="330"/>
    <n v="542"/>
    <n v="5"/>
    <n v="72"/>
    <n v="19"/>
    <n v="2710"/>
    <x v="92"/>
    <x v="0"/>
    <x v="2"/>
    <x v="0"/>
  </r>
  <r>
    <s v="O0096"/>
    <s v="2024-06-14"/>
    <x v="1"/>
    <x v="1"/>
    <x v="1"/>
    <n v="495"/>
    <n v="780"/>
    <n v="9"/>
    <n v="83"/>
    <n v="25"/>
    <n v="7020"/>
    <x v="93"/>
    <x v="0"/>
    <x v="0"/>
    <x v="1"/>
  </r>
  <r>
    <s v="O0097"/>
    <s v="2024-03-10"/>
    <x v="8"/>
    <x v="8"/>
    <x v="2"/>
    <n v="995"/>
    <n v="1432"/>
    <n v="7"/>
    <n v="64"/>
    <n v="21"/>
    <n v="10024"/>
    <x v="94"/>
    <x v="0"/>
    <x v="3"/>
    <x v="1"/>
  </r>
  <r>
    <s v="O0098"/>
    <s v="2024-05-13"/>
    <x v="0"/>
    <x v="0"/>
    <x v="0"/>
    <n v="1161"/>
    <n v="1287"/>
    <n v="4"/>
    <n v="81"/>
    <n v="12"/>
    <n v="5148"/>
    <x v="95"/>
    <x v="0"/>
    <x v="2"/>
    <x v="0"/>
  </r>
  <r>
    <s v="O0099"/>
    <s v="2024-03-19"/>
    <x v="3"/>
    <x v="3"/>
    <x v="0"/>
    <n v="938"/>
    <n v="1415"/>
    <n v="10"/>
    <n v="54"/>
    <n v="17"/>
    <n v="14150"/>
    <x v="96"/>
    <x v="0"/>
    <x v="3"/>
    <x v="1"/>
  </r>
  <r>
    <s v="O0100"/>
    <s v="2024-05-20"/>
    <x v="4"/>
    <x v="4"/>
    <x v="2"/>
    <n v="343"/>
    <n v="767"/>
    <n v="7"/>
    <n v="1"/>
    <n v="29"/>
    <n v="5369"/>
    <x v="97"/>
    <x v="1"/>
    <x v="2"/>
    <x v="1"/>
  </r>
  <r>
    <s v="O0101"/>
    <s v="2024-06-01"/>
    <x v="3"/>
    <x v="3"/>
    <x v="0"/>
    <n v="1481"/>
    <n v="1718"/>
    <n v="5"/>
    <n v="25"/>
    <n v="21"/>
    <n v="8590"/>
    <x v="98"/>
    <x v="0"/>
    <x v="0"/>
    <x v="0"/>
  </r>
  <r>
    <s v="O0102"/>
    <s v="2024-02-28"/>
    <x v="6"/>
    <x v="6"/>
    <x v="1"/>
    <n v="349"/>
    <n v="416"/>
    <n v="3"/>
    <n v="10"/>
    <n v="27"/>
    <n v="1248"/>
    <x v="99"/>
    <x v="1"/>
    <x v="5"/>
    <x v="0"/>
  </r>
  <r>
    <s v="O0103"/>
    <s v="2024-02-03"/>
    <x v="7"/>
    <x v="7"/>
    <x v="1"/>
    <n v="1506"/>
    <n v="2006"/>
    <n v="8"/>
    <n v="25"/>
    <n v="25"/>
    <n v="16048"/>
    <x v="100"/>
    <x v="0"/>
    <x v="5"/>
    <x v="1"/>
  </r>
  <r>
    <s v="O0104"/>
    <s v="2024-06-27"/>
    <x v="2"/>
    <x v="2"/>
    <x v="2"/>
    <n v="1497"/>
    <n v="1596"/>
    <n v="2"/>
    <n v="34"/>
    <n v="29"/>
    <n v="3192"/>
    <x v="101"/>
    <x v="0"/>
    <x v="0"/>
    <x v="0"/>
  </r>
  <r>
    <s v="O0105"/>
    <s v="2024-03-05"/>
    <x v="2"/>
    <x v="2"/>
    <x v="2"/>
    <n v="209"/>
    <n v="435"/>
    <n v="9"/>
    <n v="64"/>
    <n v="27"/>
    <n v="3915"/>
    <x v="102"/>
    <x v="0"/>
    <x v="3"/>
    <x v="1"/>
  </r>
  <r>
    <s v="O0106"/>
    <s v="2024-02-11"/>
    <x v="5"/>
    <x v="5"/>
    <x v="0"/>
    <n v="1839"/>
    <n v="2335"/>
    <n v="5"/>
    <n v="22"/>
    <n v="14"/>
    <n v="11675"/>
    <x v="103"/>
    <x v="0"/>
    <x v="5"/>
    <x v="1"/>
  </r>
  <r>
    <s v="O0107"/>
    <s v="2024-06-23"/>
    <x v="5"/>
    <x v="5"/>
    <x v="0"/>
    <n v="456"/>
    <n v="696"/>
    <n v="4"/>
    <n v="52"/>
    <n v="23"/>
    <n v="2784"/>
    <x v="91"/>
    <x v="0"/>
    <x v="0"/>
    <x v="0"/>
  </r>
  <r>
    <s v="O0108"/>
    <s v="2024-05-12"/>
    <x v="6"/>
    <x v="6"/>
    <x v="1"/>
    <n v="285"/>
    <n v="609"/>
    <n v="3"/>
    <n v="41"/>
    <n v="30"/>
    <n v="1827"/>
    <x v="104"/>
    <x v="0"/>
    <x v="2"/>
    <x v="0"/>
  </r>
  <r>
    <s v="O0109"/>
    <s v="2024-05-20"/>
    <x v="8"/>
    <x v="8"/>
    <x v="2"/>
    <n v="1632"/>
    <n v="2061"/>
    <n v="2"/>
    <n v="11"/>
    <n v="27"/>
    <n v="4122"/>
    <x v="105"/>
    <x v="1"/>
    <x v="2"/>
    <x v="0"/>
  </r>
  <r>
    <s v="O0110"/>
    <s v="2024-04-10"/>
    <x v="4"/>
    <x v="4"/>
    <x v="2"/>
    <n v="888"/>
    <n v="1145"/>
    <n v="5"/>
    <n v="96"/>
    <n v="23"/>
    <n v="5725"/>
    <x v="106"/>
    <x v="0"/>
    <x v="1"/>
    <x v="0"/>
  </r>
  <r>
    <s v="O0111"/>
    <s v="2024-05-01"/>
    <x v="5"/>
    <x v="5"/>
    <x v="0"/>
    <n v="563"/>
    <n v="758"/>
    <n v="3"/>
    <n v="34"/>
    <n v="27"/>
    <n v="2274"/>
    <x v="107"/>
    <x v="0"/>
    <x v="2"/>
    <x v="0"/>
  </r>
  <r>
    <s v="O0112"/>
    <s v="2024-02-26"/>
    <x v="8"/>
    <x v="8"/>
    <x v="2"/>
    <n v="1318"/>
    <n v="1645"/>
    <n v="8"/>
    <n v="7"/>
    <n v="20"/>
    <n v="13160"/>
    <x v="108"/>
    <x v="1"/>
    <x v="5"/>
    <x v="1"/>
  </r>
  <r>
    <s v="O0113"/>
    <s v="2024-01-10"/>
    <x v="3"/>
    <x v="3"/>
    <x v="0"/>
    <n v="1854"/>
    <n v="2245"/>
    <n v="2"/>
    <n v="13"/>
    <n v="26"/>
    <n v="4490"/>
    <x v="109"/>
    <x v="1"/>
    <x v="4"/>
    <x v="0"/>
  </r>
  <r>
    <s v="O0114"/>
    <s v="2024-01-05"/>
    <x v="2"/>
    <x v="2"/>
    <x v="2"/>
    <n v="355"/>
    <n v="684"/>
    <n v="1"/>
    <n v="8"/>
    <n v="10"/>
    <n v="684"/>
    <x v="110"/>
    <x v="1"/>
    <x v="4"/>
    <x v="0"/>
  </r>
  <r>
    <s v="O0115"/>
    <s v="2024-05-11"/>
    <x v="3"/>
    <x v="3"/>
    <x v="0"/>
    <n v="1720"/>
    <n v="2081"/>
    <n v="8"/>
    <n v="91"/>
    <n v="21"/>
    <n v="16648"/>
    <x v="111"/>
    <x v="0"/>
    <x v="2"/>
    <x v="1"/>
  </r>
  <r>
    <s v="O0116"/>
    <s v="2024-04-05"/>
    <x v="8"/>
    <x v="8"/>
    <x v="2"/>
    <n v="1103"/>
    <n v="1161"/>
    <n v="1"/>
    <n v="2"/>
    <n v="12"/>
    <n v="1161"/>
    <x v="112"/>
    <x v="1"/>
    <x v="1"/>
    <x v="0"/>
  </r>
  <r>
    <s v="O0117"/>
    <s v="2024-01-03"/>
    <x v="6"/>
    <x v="6"/>
    <x v="1"/>
    <n v="1674"/>
    <n v="1987"/>
    <n v="10"/>
    <n v="62"/>
    <n v="21"/>
    <n v="19870"/>
    <x v="113"/>
    <x v="0"/>
    <x v="4"/>
    <x v="1"/>
  </r>
  <r>
    <s v="O0118"/>
    <s v="2024-01-08"/>
    <x v="4"/>
    <x v="4"/>
    <x v="2"/>
    <n v="802"/>
    <n v="966"/>
    <n v="4"/>
    <n v="94"/>
    <n v="16"/>
    <n v="3864"/>
    <x v="114"/>
    <x v="0"/>
    <x v="4"/>
    <x v="0"/>
  </r>
  <r>
    <s v="O0119"/>
    <s v="2024-02-14"/>
    <x v="4"/>
    <x v="4"/>
    <x v="2"/>
    <n v="567"/>
    <n v="891"/>
    <n v="2"/>
    <n v="60"/>
    <n v="20"/>
    <n v="1782"/>
    <x v="115"/>
    <x v="0"/>
    <x v="5"/>
    <x v="0"/>
  </r>
  <r>
    <s v="O0120"/>
    <s v="2024-03-24"/>
    <x v="5"/>
    <x v="5"/>
    <x v="0"/>
    <n v="1982"/>
    <n v="2194"/>
    <n v="10"/>
    <n v="37"/>
    <n v="22"/>
    <n v="21940"/>
    <x v="116"/>
    <x v="0"/>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Stock_Status">
  <location ref="M1:N4" firstHeaderRow="1" firstDataRow="1" firstDataCol="1"/>
  <pivotFields count="15">
    <pivotField showAll="0"/>
    <pivotField showAll="0"/>
    <pivotField dataField="1" showAll="0">
      <items count="10">
        <item x="7"/>
        <item x="6"/>
        <item x="1"/>
        <item x="0"/>
        <item x="5"/>
        <item x="3"/>
        <item x="2"/>
        <item x="4"/>
        <item x="8"/>
        <item t="default"/>
      </items>
    </pivotField>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s>
  <rowFields count="1">
    <field x="12"/>
  </rowFields>
  <rowItems count="3">
    <i>
      <x/>
    </i>
    <i>
      <x v="1"/>
    </i>
    <i t="grand">
      <x/>
    </i>
  </rowItems>
  <colItems count="1">
    <i/>
  </colItems>
  <dataFields count="1">
    <dataField name="Count of Product_ID"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roduct_Name">
  <location ref="J1:K11" firstHeaderRow="1" firstDataRow="1" firstDataCol="1"/>
  <pivotFields count="15">
    <pivotField showAll="0"/>
    <pivotField showAll="0"/>
    <pivotField showAll="0"/>
    <pivotField axis="axisRow" showAll="0">
      <items count="10">
        <item x="1"/>
        <item x="8"/>
        <item x="4"/>
        <item x="7"/>
        <item x="6"/>
        <item x="5"/>
        <item x="0"/>
        <item x="3"/>
        <item x="2"/>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dataField="1" showAll="0"/>
  </pivotFields>
  <rowFields count="1">
    <field x="3"/>
  </rowFields>
  <rowItems count="10">
    <i>
      <x/>
    </i>
    <i>
      <x v="1"/>
    </i>
    <i>
      <x v="2"/>
    </i>
    <i>
      <x v="3"/>
    </i>
    <i>
      <x v="4"/>
    </i>
    <i>
      <x v="5"/>
    </i>
    <i>
      <x v="6"/>
    </i>
    <i>
      <x v="7"/>
    </i>
    <i>
      <x v="8"/>
    </i>
    <i t="grand">
      <x/>
    </i>
  </rowItems>
  <colItems count="1">
    <i/>
  </colItems>
  <dataFields count="1">
    <dataField name="Count of High Profit Flag"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Product_Name">
  <location ref="G1:H7" firstHeaderRow="1" firstDataRow="1" firstDataCol="1"/>
  <pivotFields count="15">
    <pivotField showAll="0"/>
    <pivotField showAll="0"/>
    <pivotField showAll="0"/>
    <pivotField axis="axisRow" showAll="0" measureFilter="1" sortType="descending">
      <items count="10">
        <item x="2"/>
        <item x="3"/>
        <item x="0"/>
        <item x="5"/>
        <item x="6"/>
        <item x="7"/>
        <item x="4"/>
        <item x="8"/>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items count="118">
        <item x="112"/>
        <item x="65"/>
        <item x="101"/>
        <item x="99"/>
        <item x="33"/>
        <item x="48"/>
        <item x="60"/>
        <item x="37"/>
        <item x="31"/>
        <item x="86"/>
        <item x="110"/>
        <item x="36"/>
        <item x="9"/>
        <item x="10"/>
        <item x="32"/>
        <item x="45"/>
        <item x="67"/>
        <item x="95"/>
        <item x="81"/>
        <item x="50"/>
        <item x="89"/>
        <item x="107"/>
        <item x="79"/>
        <item x="68"/>
        <item x="62"/>
        <item x="23"/>
        <item x="115"/>
        <item x="73"/>
        <item x="114"/>
        <item x="63"/>
        <item x="42"/>
        <item x="58"/>
        <item x="25"/>
        <item x="84"/>
        <item x="109"/>
        <item x="12"/>
        <item x="80"/>
        <item x="57"/>
        <item x="85"/>
        <item x="3"/>
        <item x="105"/>
        <item x="82"/>
        <item x="51"/>
        <item x="69"/>
        <item x="13"/>
        <item x="91"/>
        <item x="5"/>
        <item x="41"/>
        <item x="104"/>
        <item x="7"/>
        <item x="53"/>
        <item x="92"/>
        <item x="66"/>
        <item x="39"/>
        <item x="98"/>
        <item x="72"/>
        <item x="0"/>
        <item x="29"/>
        <item x="71"/>
        <item x="106"/>
        <item x="4"/>
        <item x="6"/>
        <item x="43"/>
        <item x="40"/>
        <item x="55"/>
        <item x="35"/>
        <item x="47"/>
        <item x="22"/>
        <item x="61"/>
        <item x="64"/>
        <item x="52"/>
        <item x="90"/>
        <item x="14"/>
        <item x="74"/>
        <item x="87"/>
        <item x="19"/>
        <item x="28"/>
        <item x="83"/>
        <item x="44"/>
        <item x="102"/>
        <item x="38"/>
        <item x="56"/>
        <item x="116"/>
        <item x="75"/>
        <item x="26"/>
        <item x="49"/>
        <item x="54"/>
        <item x="20"/>
        <item x="1"/>
        <item x="76"/>
        <item x="103"/>
        <item x="2"/>
        <item x="30"/>
        <item x="93"/>
        <item x="108"/>
        <item x="17"/>
        <item x="27"/>
        <item x="77"/>
        <item x="59"/>
        <item x="111"/>
        <item x="97"/>
        <item x="78"/>
        <item x="94"/>
        <item x="18"/>
        <item x="88"/>
        <item x="113"/>
        <item x="34"/>
        <item x="46"/>
        <item x="16"/>
        <item x="11"/>
        <item x="24"/>
        <item x="70"/>
        <item x="21"/>
        <item x="100"/>
        <item x="8"/>
        <item x="15"/>
        <item x="96"/>
        <item t="default"/>
      </items>
    </pivotField>
    <pivotField showAll="0"/>
    <pivotField showAll="0"/>
    <pivotField showAll="0"/>
  </pivotFields>
  <rowFields count="1">
    <field x="3"/>
  </rowFields>
  <rowItems count="6">
    <i>
      <x v="6"/>
    </i>
    <i>
      <x v="5"/>
    </i>
    <i>
      <x v="4"/>
    </i>
    <i>
      <x v="8"/>
    </i>
    <i>
      <x v="1"/>
    </i>
    <i t="grand">
      <x/>
    </i>
  </rowItems>
  <colItems count="1">
    <i/>
  </colItems>
  <dataFields count="1">
    <dataField name="Sum of Profit"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Category">
  <location ref="D1:E5" firstHeaderRow="1" firstDataRow="1" firstDataCol="1"/>
  <pivotFields count="15">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s>
  <rowFields count="1">
    <field x="4"/>
  </rowFields>
  <rowItems count="4">
    <i>
      <x/>
    </i>
    <i>
      <x v="1"/>
    </i>
    <i>
      <x v="2"/>
    </i>
    <i t="grand">
      <x/>
    </i>
  </rowItems>
  <colItems count="1">
    <i/>
  </colItems>
  <dataFields count="1">
    <dataField name="Sum of Profit"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Months">
  <location ref="A1:B8" firstHeaderRow="1" firstDataRow="1" firstDataCol="1"/>
  <pivotFields count="15">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7">
        <item x="4"/>
        <item x="5"/>
        <item x="3"/>
        <item x="1"/>
        <item x="2"/>
        <item x="0"/>
        <item t="default"/>
      </items>
    </pivotField>
    <pivotField showAll="0"/>
  </pivotFields>
  <rowFields count="1">
    <field x="13"/>
  </rowFields>
  <rowItems count="7">
    <i>
      <x/>
    </i>
    <i>
      <x v="1"/>
    </i>
    <i>
      <x v="2"/>
    </i>
    <i>
      <x v="3"/>
    </i>
    <i>
      <x v="4"/>
    </i>
    <i>
      <x v="5"/>
    </i>
    <i t="grand">
      <x/>
    </i>
  </rowItems>
  <colItems count="1">
    <i/>
  </colItems>
  <dataFields count="1">
    <dataField name="Sum of Revenue"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2"/>
  </pivotTables>
  <data>
    <tabular pivotCacheId="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 name="PivotTable1"/>
  </pivotTables>
  <data>
    <tabular pivotCacheId="1">
      <items count="6">
        <i x="4" s="1"/>
        <i x="5" s="1"/>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ock_Status" sourceName="Stock_Status">
  <pivotTables>
    <pivotTable tabId="2" name="PivotTable5"/>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Month" cache="Slicer_Month" caption="Month" rowHeight="241300"/>
  <slicer name="Stock_Status" cache="Slicer_Stock_Status" caption="Stock_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1"/>
  <sheetViews>
    <sheetView topLeftCell="A101" workbookViewId="0">
      <selection activeCell="E124" sqref="E124"/>
    </sheetView>
  </sheetViews>
  <sheetFormatPr defaultRowHeight="15" x14ac:dyDescent="0.25"/>
  <cols>
    <col min="1" max="1" width="9.42578125" style="2" customWidth="1"/>
    <col min="2" max="2" width="13.5703125" customWidth="1"/>
    <col min="3" max="3" width="14.140625" style="2" customWidth="1"/>
    <col min="4" max="4" width="14.140625" customWidth="1"/>
    <col min="5" max="5" width="11.85546875" customWidth="1"/>
    <col min="6" max="6" width="13" style="2" customWidth="1"/>
    <col min="7" max="7" width="13.140625" style="2" customWidth="1"/>
    <col min="8" max="8" width="10.140625" style="2" customWidth="1"/>
    <col min="9" max="9" width="18.28515625" style="2" customWidth="1"/>
    <col min="10" max="10" width="14.42578125" style="2" customWidth="1"/>
    <col min="11" max="11" width="12" style="2" customWidth="1"/>
    <col min="13" max="13" width="12.85546875" customWidth="1"/>
    <col min="15" max="15" width="14.28515625" customWidth="1"/>
  </cols>
  <sheetData>
    <row r="1" spans="1:15" s="6" customFormat="1" ht="19.5" customHeight="1" x14ac:dyDescent="0.25">
      <c r="A1" s="4" t="s">
        <v>0</v>
      </c>
      <c r="B1" s="5" t="s">
        <v>1</v>
      </c>
      <c r="C1" s="4" t="s">
        <v>2</v>
      </c>
      <c r="D1" s="5" t="s">
        <v>3</v>
      </c>
      <c r="E1" s="5" t="s">
        <v>4</v>
      </c>
      <c r="F1" s="4" t="s">
        <v>5</v>
      </c>
      <c r="G1" s="4" t="s">
        <v>6</v>
      </c>
      <c r="H1" s="4" t="s">
        <v>7</v>
      </c>
      <c r="I1" s="4" t="s">
        <v>8</v>
      </c>
      <c r="J1" s="4" t="s">
        <v>9</v>
      </c>
      <c r="K1" s="10" t="s">
        <v>243</v>
      </c>
      <c r="L1" s="9" t="s">
        <v>244</v>
      </c>
      <c r="M1" s="4" t="s">
        <v>245</v>
      </c>
      <c r="N1" s="5" t="s">
        <v>246</v>
      </c>
      <c r="O1" s="9" t="s">
        <v>247</v>
      </c>
    </row>
    <row r="2" spans="1:15" s="8" customFormat="1" ht="19.5" customHeight="1" x14ac:dyDescent="0.25">
      <c r="A2" s="3" t="s">
        <v>10</v>
      </c>
      <c r="B2" s="7" t="s">
        <v>11</v>
      </c>
      <c r="C2" s="3" t="s">
        <v>12</v>
      </c>
      <c r="D2" s="7" t="s">
        <v>13</v>
      </c>
      <c r="E2" s="7" t="s">
        <v>14</v>
      </c>
      <c r="F2" s="3">
        <v>720</v>
      </c>
      <c r="G2" s="3">
        <v>855</v>
      </c>
      <c r="H2" s="3">
        <v>9</v>
      </c>
      <c r="I2" s="3">
        <v>83</v>
      </c>
      <c r="J2" s="3">
        <v>19</v>
      </c>
      <c r="K2" s="3">
        <f>G2*H2</f>
        <v>7695</v>
      </c>
      <c r="L2" s="3">
        <f>(G2-F2)*H2</f>
        <v>1215</v>
      </c>
      <c r="M2" s="7" t="str">
        <f>IF(I2&gt;=J2,"Reorder","Ok")</f>
        <v>Reorder</v>
      </c>
      <c r="N2" s="7" t="str">
        <f>TEXT(B2,"mm/yyyy")</f>
        <v>06/2024</v>
      </c>
      <c r="O2" s="1" t="str">
        <f>IF(L2&gt;=2000,"High Profit ","Low Profit")</f>
        <v>Low Profit</v>
      </c>
    </row>
    <row r="3" spans="1:15" s="8" customFormat="1" ht="19.5" customHeight="1" x14ac:dyDescent="0.25">
      <c r="A3" s="3" t="s">
        <v>15</v>
      </c>
      <c r="B3" s="7" t="s">
        <v>16</v>
      </c>
      <c r="C3" s="3" t="s">
        <v>17</v>
      </c>
      <c r="D3" s="7" t="s">
        <v>18</v>
      </c>
      <c r="E3" s="7" t="s">
        <v>19</v>
      </c>
      <c r="F3" s="3">
        <v>803</v>
      </c>
      <c r="G3" s="3">
        <v>1295</v>
      </c>
      <c r="H3" s="3">
        <v>5</v>
      </c>
      <c r="I3" s="3">
        <v>15</v>
      </c>
      <c r="J3" s="3">
        <v>10</v>
      </c>
      <c r="K3" s="3">
        <f t="shared" ref="K3:K66" si="0">G3*H3</f>
        <v>6475</v>
      </c>
      <c r="L3" s="3">
        <f t="shared" ref="L3:L66" si="1">(G3-F3)*H3</f>
        <v>2460</v>
      </c>
      <c r="M3" s="7" t="str">
        <f>IF(I3&gt;=J3,"Reorder","Ok")</f>
        <v>Reorder</v>
      </c>
      <c r="N3" s="7" t="str">
        <f>TEXT(B3,"mm/yyyy")</f>
        <v>04/2024</v>
      </c>
      <c r="O3" s="1" t="str">
        <f t="shared" ref="O3:O66" si="2">IF(L3&gt;=2000,"High Profit ","Low Profit")</f>
        <v xml:space="preserve">High Profit </v>
      </c>
    </row>
    <row r="4" spans="1:15" s="8" customFormat="1" ht="19.5" customHeight="1" x14ac:dyDescent="0.25">
      <c r="A4" s="3" t="s">
        <v>20</v>
      </c>
      <c r="B4" s="7" t="s">
        <v>21</v>
      </c>
      <c r="C4" s="3" t="s">
        <v>12</v>
      </c>
      <c r="D4" s="7" t="s">
        <v>13</v>
      </c>
      <c r="E4" s="7" t="s">
        <v>14</v>
      </c>
      <c r="F4" s="3">
        <v>1772</v>
      </c>
      <c r="G4" s="3">
        <v>2052</v>
      </c>
      <c r="H4" s="3">
        <v>9</v>
      </c>
      <c r="I4" s="3">
        <v>46</v>
      </c>
      <c r="J4" s="3">
        <v>20</v>
      </c>
      <c r="K4" s="3">
        <f t="shared" si="0"/>
        <v>18468</v>
      </c>
      <c r="L4" s="3">
        <f t="shared" si="1"/>
        <v>2520</v>
      </c>
      <c r="M4" s="7" t="str">
        <f t="shared" ref="M4:M67" si="3">IF(I4&gt;=J4,"Reorder","Ok")</f>
        <v>Reorder</v>
      </c>
      <c r="N4" s="7" t="str">
        <f t="shared" ref="N4:N67" si="4">TEXT(B4,"mm/yyyy")</f>
        <v>05/2024</v>
      </c>
      <c r="O4" s="1" t="str">
        <f t="shared" si="2"/>
        <v xml:space="preserve">High Profit </v>
      </c>
    </row>
    <row r="5" spans="1:15" s="8" customFormat="1" ht="19.5" customHeight="1" x14ac:dyDescent="0.25">
      <c r="A5" s="3" t="s">
        <v>22</v>
      </c>
      <c r="B5" s="7" t="s">
        <v>23</v>
      </c>
      <c r="C5" s="3" t="s">
        <v>24</v>
      </c>
      <c r="D5" s="7" t="s">
        <v>25</v>
      </c>
      <c r="E5" s="7" t="s">
        <v>26</v>
      </c>
      <c r="F5" s="3">
        <v>1164</v>
      </c>
      <c r="G5" s="3">
        <v>1269</v>
      </c>
      <c r="H5" s="3">
        <v>8</v>
      </c>
      <c r="I5" s="3">
        <v>15</v>
      </c>
      <c r="J5" s="3">
        <v>15</v>
      </c>
      <c r="K5" s="3">
        <f t="shared" si="0"/>
        <v>10152</v>
      </c>
      <c r="L5" s="3">
        <f t="shared" si="1"/>
        <v>840</v>
      </c>
      <c r="M5" s="7" t="str">
        <f t="shared" si="3"/>
        <v>Reorder</v>
      </c>
      <c r="N5" s="7" t="str">
        <f t="shared" si="4"/>
        <v>05/2024</v>
      </c>
      <c r="O5" s="1" t="str">
        <f t="shared" si="2"/>
        <v>Low Profit</v>
      </c>
    </row>
    <row r="6" spans="1:15" s="8" customFormat="1" ht="19.5" customHeight="1" x14ac:dyDescent="0.25">
      <c r="A6" s="3" t="s">
        <v>27</v>
      </c>
      <c r="B6" s="7" t="s">
        <v>28</v>
      </c>
      <c r="C6" s="3" t="s">
        <v>24</v>
      </c>
      <c r="D6" s="7" t="s">
        <v>25</v>
      </c>
      <c r="E6" s="7" t="s">
        <v>26</v>
      </c>
      <c r="F6" s="3">
        <v>1013</v>
      </c>
      <c r="G6" s="3">
        <v>1144</v>
      </c>
      <c r="H6" s="3">
        <v>10</v>
      </c>
      <c r="I6" s="3">
        <v>28</v>
      </c>
      <c r="J6" s="3">
        <v>15</v>
      </c>
      <c r="K6" s="3">
        <f t="shared" si="0"/>
        <v>11440</v>
      </c>
      <c r="L6" s="3">
        <f t="shared" si="1"/>
        <v>1310</v>
      </c>
      <c r="M6" s="7" t="str">
        <f t="shared" si="3"/>
        <v>Reorder</v>
      </c>
      <c r="N6" s="7" t="str">
        <f t="shared" si="4"/>
        <v>04/2024</v>
      </c>
      <c r="O6" s="1" t="str">
        <f t="shared" si="2"/>
        <v>Low Profit</v>
      </c>
    </row>
    <row r="7" spans="1:15" s="8" customFormat="1" ht="19.5" customHeight="1" x14ac:dyDescent="0.25">
      <c r="A7" s="3" t="s">
        <v>29</v>
      </c>
      <c r="B7" s="7" t="s">
        <v>30</v>
      </c>
      <c r="C7" s="3" t="s">
        <v>31</v>
      </c>
      <c r="D7" s="7" t="s">
        <v>32</v>
      </c>
      <c r="E7" s="7" t="s">
        <v>14</v>
      </c>
      <c r="F7" s="3">
        <v>470</v>
      </c>
      <c r="G7" s="3">
        <v>577</v>
      </c>
      <c r="H7" s="3">
        <v>9</v>
      </c>
      <c r="I7" s="3">
        <v>38</v>
      </c>
      <c r="J7" s="3">
        <v>27</v>
      </c>
      <c r="K7" s="3">
        <f t="shared" si="0"/>
        <v>5193</v>
      </c>
      <c r="L7" s="3">
        <f t="shared" si="1"/>
        <v>963</v>
      </c>
      <c r="M7" s="7" t="str">
        <f t="shared" si="3"/>
        <v>Reorder</v>
      </c>
      <c r="N7" s="7" t="str">
        <f t="shared" si="4"/>
        <v>03/2024</v>
      </c>
      <c r="O7" s="1" t="str">
        <f t="shared" si="2"/>
        <v>Low Profit</v>
      </c>
    </row>
    <row r="8" spans="1:15" s="8" customFormat="1" ht="19.5" customHeight="1" x14ac:dyDescent="0.25">
      <c r="A8" s="3" t="s">
        <v>33</v>
      </c>
      <c r="B8" s="7" t="s">
        <v>34</v>
      </c>
      <c r="C8" s="3" t="s">
        <v>35</v>
      </c>
      <c r="D8" s="7" t="s">
        <v>36</v>
      </c>
      <c r="E8" s="7" t="s">
        <v>26</v>
      </c>
      <c r="F8" s="3">
        <v>1707</v>
      </c>
      <c r="G8" s="3">
        <v>1974</v>
      </c>
      <c r="H8" s="3">
        <v>5</v>
      </c>
      <c r="I8" s="3">
        <v>53</v>
      </c>
      <c r="J8" s="3">
        <v>16</v>
      </c>
      <c r="K8" s="3">
        <f t="shared" si="0"/>
        <v>9870</v>
      </c>
      <c r="L8" s="3">
        <f t="shared" si="1"/>
        <v>1335</v>
      </c>
      <c r="M8" s="7" t="str">
        <f t="shared" si="3"/>
        <v>Reorder</v>
      </c>
      <c r="N8" s="7" t="str">
        <f t="shared" si="4"/>
        <v>03/2024</v>
      </c>
      <c r="O8" s="1" t="str">
        <f t="shared" si="2"/>
        <v>Low Profit</v>
      </c>
    </row>
    <row r="9" spans="1:15" s="8" customFormat="1" ht="19.5" customHeight="1" x14ac:dyDescent="0.25">
      <c r="A9" s="3" t="s">
        <v>37</v>
      </c>
      <c r="B9" s="7" t="s">
        <v>38</v>
      </c>
      <c r="C9" s="3" t="s">
        <v>24</v>
      </c>
      <c r="D9" s="7" t="s">
        <v>25</v>
      </c>
      <c r="E9" s="7" t="s">
        <v>26</v>
      </c>
      <c r="F9" s="3">
        <v>1495</v>
      </c>
      <c r="G9" s="3">
        <v>1821</v>
      </c>
      <c r="H9" s="3">
        <v>3</v>
      </c>
      <c r="I9" s="3">
        <v>2</v>
      </c>
      <c r="J9" s="3">
        <v>13</v>
      </c>
      <c r="K9" s="3">
        <f t="shared" si="0"/>
        <v>5463</v>
      </c>
      <c r="L9" s="3">
        <f t="shared" si="1"/>
        <v>978</v>
      </c>
      <c r="M9" s="7" t="str">
        <f t="shared" si="3"/>
        <v>Ok</v>
      </c>
      <c r="N9" s="7" t="str">
        <f t="shared" si="4"/>
        <v>03/2024</v>
      </c>
      <c r="O9" s="1" t="str">
        <f t="shared" si="2"/>
        <v>Low Profit</v>
      </c>
    </row>
    <row r="10" spans="1:15" s="8" customFormat="1" ht="19.5" customHeight="1" x14ac:dyDescent="0.25">
      <c r="A10" s="3" t="s">
        <v>39</v>
      </c>
      <c r="B10" s="7" t="s">
        <v>40</v>
      </c>
      <c r="C10" s="3" t="s">
        <v>41</v>
      </c>
      <c r="D10" s="7" t="s">
        <v>42</v>
      </c>
      <c r="E10" s="7" t="s">
        <v>14</v>
      </c>
      <c r="F10" s="3">
        <v>1740</v>
      </c>
      <c r="G10" s="3">
        <v>2171</v>
      </c>
      <c r="H10" s="3">
        <v>10</v>
      </c>
      <c r="I10" s="3">
        <v>88</v>
      </c>
      <c r="J10" s="3">
        <v>14</v>
      </c>
      <c r="K10" s="3">
        <f t="shared" si="0"/>
        <v>21710</v>
      </c>
      <c r="L10" s="3">
        <f t="shared" si="1"/>
        <v>4310</v>
      </c>
      <c r="M10" s="7" t="str">
        <f t="shared" si="3"/>
        <v>Reorder</v>
      </c>
      <c r="N10" s="7" t="str">
        <f t="shared" si="4"/>
        <v>03/2024</v>
      </c>
      <c r="O10" s="1" t="str">
        <f t="shared" si="2"/>
        <v xml:space="preserve">High Profit </v>
      </c>
    </row>
    <row r="11" spans="1:15" s="8" customFormat="1" ht="19.5" customHeight="1" x14ac:dyDescent="0.25">
      <c r="A11" s="3" t="s">
        <v>43</v>
      </c>
      <c r="B11" s="7" t="s">
        <v>44</v>
      </c>
      <c r="C11" s="3" t="s">
        <v>45</v>
      </c>
      <c r="D11" s="7" t="s">
        <v>46</v>
      </c>
      <c r="E11" s="7" t="s">
        <v>19</v>
      </c>
      <c r="F11" s="3">
        <v>1133</v>
      </c>
      <c r="G11" s="3">
        <v>1218</v>
      </c>
      <c r="H11" s="3">
        <v>5</v>
      </c>
      <c r="I11" s="3">
        <v>72</v>
      </c>
      <c r="J11" s="3">
        <v>15</v>
      </c>
      <c r="K11" s="3">
        <f t="shared" si="0"/>
        <v>6090</v>
      </c>
      <c r="L11" s="3">
        <f t="shared" si="1"/>
        <v>425</v>
      </c>
      <c r="M11" s="7" t="str">
        <f t="shared" si="3"/>
        <v>Reorder</v>
      </c>
      <c r="N11" s="7" t="str">
        <f t="shared" si="4"/>
        <v>06/2024</v>
      </c>
      <c r="O11" s="1" t="str">
        <f t="shared" si="2"/>
        <v>Low Profit</v>
      </c>
    </row>
    <row r="12" spans="1:15" s="8" customFormat="1" ht="19.5" customHeight="1" x14ac:dyDescent="0.25">
      <c r="A12" s="3" t="s">
        <v>47</v>
      </c>
      <c r="B12" s="7" t="s">
        <v>48</v>
      </c>
      <c r="C12" s="3" t="s">
        <v>35</v>
      </c>
      <c r="D12" s="7" t="s">
        <v>36</v>
      </c>
      <c r="E12" s="7" t="s">
        <v>26</v>
      </c>
      <c r="F12" s="3">
        <v>1757</v>
      </c>
      <c r="G12" s="3">
        <v>1830</v>
      </c>
      <c r="H12" s="3">
        <v>6</v>
      </c>
      <c r="I12" s="3">
        <v>98</v>
      </c>
      <c r="J12" s="3">
        <v>20</v>
      </c>
      <c r="K12" s="3">
        <f t="shared" si="0"/>
        <v>10980</v>
      </c>
      <c r="L12" s="3">
        <f t="shared" si="1"/>
        <v>438</v>
      </c>
      <c r="M12" s="7" t="str">
        <f t="shared" si="3"/>
        <v>Reorder</v>
      </c>
      <c r="N12" s="7" t="str">
        <f t="shared" si="4"/>
        <v>03/2024</v>
      </c>
      <c r="O12" s="1" t="str">
        <f t="shared" si="2"/>
        <v>Low Profit</v>
      </c>
    </row>
    <row r="13" spans="1:15" s="8" customFormat="1" ht="19.5" customHeight="1" x14ac:dyDescent="0.25">
      <c r="A13" s="3" t="s">
        <v>49</v>
      </c>
      <c r="B13" s="7" t="s">
        <v>50</v>
      </c>
      <c r="C13" s="3" t="s">
        <v>51</v>
      </c>
      <c r="D13" s="7" t="s">
        <v>52</v>
      </c>
      <c r="E13" s="7" t="s">
        <v>19</v>
      </c>
      <c r="F13" s="3">
        <v>272</v>
      </c>
      <c r="G13" s="3">
        <v>665</v>
      </c>
      <c r="H13" s="3">
        <v>9</v>
      </c>
      <c r="I13" s="3">
        <v>85</v>
      </c>
      <c r="J13" s="3">
        <v>27</v>
      </c>
      <c r="K13" s="3">
        <f t="shared" si="0"/>
        <v>5985</v>
      </c>
      <c r="L13" s="3">
        <f t="shared" si="1"/>
        <v>3537</v>
      </c>
      <c r="M13" s="7" t="str">
        <f t="shared" si="3"/>
        <v>Reorder</v>
      </c>
      <c r="N13" s="7" t="str">
        <f t="shared" si="4"/>
        <v>05/2024</v>
      </c>
      <c r="O13" s="1" t="str">
        <f t="shared" si="2"/>
        <v xml:space="preserve">High Profit </v>
      </c>
    </row>
    <row r="14" spans="1:15" s="8" customFormat="1" ht="19.5" customHeight="1" x14ac:dyDescent="0.25">
      <c r="A14" s="3" t="s">
        <v>53</v>
      </c>
      <c r="B14" s="7" t="s">
        <v>54</v>
      </c>
      <c r="C14" s="3" t="s">
        <v>12</v>
      </c>
      <c r="D14" s="7" t="s">
        <v>13</v>
      </c>
      <c r="E14" s="7" t="s">
        <v>14</v>
      </c>
      <c r="F14" s="3">
        <v>301</v>
      </c>
      <c r="G14" s="3">
        <v>565</v>
      </c>
      <c r="H14" s="3">
        <v>3</v>
      </c>
      <c r="I14" s="3">
        <v>1</v>
      </c>
      <c r="J14" s="3">
        <v>18</v>
      </c>
      <c r="K14" s="3">
        <f t="shared" si="0"/>
        <v>1695</v>
      </c>
      <c r="L14" s="3">
        <f t="shared" si="1"/>
        <v>792</v>
      </c>
      <c r="M14" s="7" t="str">
        <f t="shared" si="3"/>
        <v>Ok</v>
      </c>
      <c r="N14" s="7" t="str">
        <f t="shared" si="4"/>
        <v>01/2024</v>
      </c>
      <c r="O14" s="1" t="str">
        <f t="shared" si="2"/>
        <v>Low Profit</v>
      </c>
    </row>
    <row r="15" spans="1:15" s="8" customFormat="1" ht="19.5" customHeight="1" x14ac:dyDescent="0.25">
      <c r="A15" s="3" t="s">
        <v>55</v>
      </c>
      <c r="B15" s="7" t="s">
        <v>56</v>
      </c>
      <c r="C15" s="3" t="s">
        <v>45</v>
      </c>
      <c r="D15" s="7" t="s">
        <v>46</v>
      </c>
      <c r="E15" s="7" t="s">
        <v>19</v>
      </c>
      <c r="F15" s="3">
        <v>486</v>
      </c>
      <c r="G15" s="3">
        <v>961</v>
      </c>
      <c r="H15" s="3">
        <v>2</v>
      </c>
      <c r="I15" s="3">
        <v>68</v>
      </c>
      <c r="J15" s="3">
        <v>17</v>
      </c>
      <c r="K15" s="3">
        <f t="shared" si="0"/>
        <v>1922</v>
      </c>
      <c r="L15" s="3">
        <f t="shared" si="1"/>
        <v>950</v>
      </c>
      <c r="M15" s="7" t="str">
        <f t="shared" si="3"/>
        <v>Reorder</v>
      </c>
      <c r="N15" s="7" t="str">
        <f t="shared" si="4"/>
        <v>01/2024</v>
      </c>
      <c r="O15" s="1" t="str">
        <f t="shared" si="2"/>
        <v>Low Profit</v>
      </c>
    </row>
    <row r="16" spans="1:15" s="8" customFormat="1" ht="19.5" customHeight="1" x14ac:dyDescent="0.25">
      <c r="A16" s="3" t="s">
        <v>57</v>
      </c>
      <c r="B16" s="7" t="s">
        <v>58</v>
      </c>
      <c r="C16" s="3" t="s">
        <v>35</v>
      </c>
      <c r="D16" s="7" t="s">
        <v>36</v>
      </c>
      <c r="E16" s="7" t="s">
        <v>26</v>
      </c>
      <c r="F16" s="3">
        <v>1657</v>
      </c>
      <c r="G16" s="3">
        <v>2112</v>
      </c>
      <c r="H16" s="3">
        <v>4</v>
      </c>
      <c r="I16" s="3">
        <v>100</v>
      </c>
      <c r="J16" s="3">
        <v>13</v>
      </c>
      <c r="K16" s="3">
        <f t="shared" si="0"/>
        <v>8448</v>
      </c>
      <c r="L16" s="3">
        <f t="shared" si="1"/>
        <v>1820</v>
      </c>
      <c r="M16" s="7" t="str">
        <f t="shared" si="3"/>
        <v>Reorder</v>
      </c>
      <c r="N16" s="7" t="str">
        <f t="shared" si="4"/>
        <v>06/2024</v>
      </c>
      <c r="O16" s="1" t="str">
        <f t="shared" si="2"/>
        <v>Low Profit</v>
      </c>
    </row>
    <row r="17" spans="1:15" s="8" customFormat="1" ht="19.5" customHeight="1" x14ac:dyDescent="0.25">
      <c r="A17" s="3" t="s">
        <v>59</v>
      </c>
      <c r="B17" s="7" t="s">
        <v>60</v>
      </c>
      <c r="C17" s="3" t="s">
        <v>51</v>
      </c>
      <c r="D17" s="7" t="s">
        <v>52</v>
      </c>
      <c r="E17" s="7" t="s">
        <v>19</v>
      </c>
      <c r="F17" s="3">
        <v>947</v>
      </c>
      <c r="G17" s="3">
        <v>1412</v>
      </c>
      <c r="H17" s="3">
        <v>10</v>
      </c>
      <c r="I17" s="3">
        <v>39</v>
      </c>
      <c r="J17" s="3">
        <v>12</v>
      </c>
      <c r="K17" s="3">
        <f t="shared" si="0"/>
        <v>14120</v>
      </c>
      <c r="L17" s="3">
        <f t="shared" si="1"/>
        <v>4650</v>
      </c>
      <c r="M17" s="7" t="str">
        <f t="shared" si="3"/>
        <v>Reorder</v>
      </c>
      <c r="N17" s="7" t="str">
        <f t="shared" si="4"/>
        <v>01/2024</v>
      </c>
      <c r="O17" s="1" t="str">
        <f t="shared" si="2"/>
        <v xml:space="preserve">High Profit </v>
      </c>
    </row>
    <row r="18" spans="1:15" s="8" customFormat="1" ht="19.5" customHeight="1" x14ac:dyDescent="0.25">
      <c r="A18" s="3" t="s">
        <v>61</v>
      </c>
      <c r="B18" s="7" t="s">
        <v>62</v>
      </c>
      <c r="C18" s="3" t="s">
        <v>17</v>
      </c>
      <c r="D18" s="7" t="s">
        <v>18</v>
      </c>
      <c r="E18" s="7" t="s">
        <v>19</v>
      </c>
      <c r="F18" s="3">
        <v>412</v>
      </c>
      <c r="G18" s="3">
        <v>793</v>
      </c>
      <c r="H18" s="3">
        <v>9</v>
      </c>
      <c r="I18" s="3">
        <v>10</v>
      </c>
      <c r="J18" s="3">
        <v>14</v>
      </c>
      <c r="K18" s="3">
        <f t="shared" si="0"/>
        <v>7137</v>
      </c>
      <c r="L18" s="3">
        <f t="shared" si="1"/>
        <v>3429</v>
      </c>
      <c r="M18" s="7" t="str">
        <f t="shared" si="3"/>
        <v>Ok</v>
      </c>
      <c r="N18" s="7" t="str">
        <f t="shared" si="4"/>
        <v>02/2024</v>
      </c>
      <c r="O18" s="1" t="str">
        <f t="shared" si="2"/>
        <v xml:space="preserve">High Profit </v>
      </c>
    </row>
    <row r="19" spans="1:15" s="8" customFormat="1" ht="19.5" customHeight="1" x14ac:dyDescent="0.25">
      <c r="A19" s="3" t="s">
        <v>63</v>
      </c>
      <c r="B19" s="7" t="s">
        <v>64</v>
      </c>
      <c r="C19" s="3" t="s">
        <v>51</v>
      </c>
      <c r="D19" s="7" t="s">
        <v>52</v>
      </c>
      <c r="E19" s="7" t="s">
        <v>19</v>
      </c>
      <c r="F19" s="3">
        <v>498</v>
      </c>
      <c r="G19" s="3">
        <v>770</v>
      </c>
      <c r="H19" s="3">
        <v>10</v>
      </c>
      <c r="I19" s="3">
        <v>4</v>
      </c>
      <c r="J19" s="3">
        <v>25</v>
      </c>
      <c r="K19" s="3">
        <f t="shared" si="0"/>
        <v>7700</v>
      </c>
      <c r="L19" s="3">
        <f t="shared" si="1"/>
        <v>2720</v>
      </c>
      <c r="M19" s="7" t="str">
        <f t="shared" si="3"/>
        <v>Ok</v>
      </c>
      <c r="N19" s="7" t="str">
        <f t="shared" si="4"/>
        <v>04/2024</v>
      </c>
      <c r="O19" s="1" t="str">
        <f t="shared" si="2"/>
        <v xml:space="preserve">High Profit </v>
      </c>
    </row>
    <row r="20" spans="1:15" s="8" customFormat="1" ht="19.5" customHeight="1" x14ac:dyDescent="0.25">
      <c r="A20" s="3" t="s">
        <v>65</v>
      </c>
      <c r="B20" s="7" t="s">
        <v>66</v>
      </c>
      <c r="C20" s="3" t="s">
        <v>35</v>
      </c>
      <c r="D20" s="7" t="s">
        <v>36</v>
      </c>
      <c r="E20" s="7" t="s">
        <v>26</v>
      </c>
      <c r="F20" s="3">
        <v>848</v>
      </c>
      <c r="G20" s="3">
        <v>1231</v>
      </c>
      <c r="H20" s="3">
        <v>8</v>
      </c>
      <c r="I20" s="3">
        <v>52</v>
      </c>
      <c r="J20" s="3">
        <v>12</v>
      </c>
      <c r="K20" s="3">
        <f t="shared" si="0"/>
        <v>9848</v>
      </c>
      <c r="L20" s="3">
        <f t="shared" si="1"/>
        <v>3064</v>
      </c>
      <c r="M20" s="7" t="str">
        <f t="shared" si="3"/>
        <v>Reorder</v>
      </c>
      <c r="N20" s="7" t="str">
        <f t="shared" si="4"/>
        <v>03/2024</v>
      </c>
      <c r="O20" s="1" t="str">
        <f t="shared" si="2"/>
        <v xml:space="preserve">High Profit </v>
      </c>
    </row>
    <row r="21" spans="1:15" s="8" customFormat="1" ht="19.5" customHeight="1" x14ac:dyDescent="0.25">
      <c r="A21" s="3" t="s">
        <v>67</v>
      </c>
      <c r="B21" s="7" t="s">
        <v>58</v>
      </c>
      <c r="C21" s="3" t="s">
        <v>45</v>
      </c>
      <c r="D21" s="7" t="s">
        <v>46</v>
      </c>
      <c r="E21" s="7" t="s">
        <v>19</v>
      </c>
      <c r="F21" s="3">
        <v>399</v>
      </c>
      <c r="G21" s="3">
        <v>636</v>
      </c>
      <c r="H21" s="3">
        <v>8</v>
      </c>
      <c r="I21" s="3">
        <v>38</v>
      </c>
      <c r="J21" s="3">
        <v>27</v>
      </c>
      <c r="K21" s="3">
        <f t="shared" si="0"/>
        <v>5088</v>
      </c>
      <c r="L21" s="3">
        <f t="shared" si="1"/>
        <v>1896</v>
      </c>
      <c r="M21" s="7" t="str">
        <f t="shared" si="3"/>
        <v>Reorder</v>
      </c>
      <c r="N21" s="7" t="str">
        <f t="shared" si="4"/>
        <v>06/2024</v>
      </c>
      <c r="O21" s="1" t="str">
        <f t="shared" si="2"/>
        <v>Low Profit</v>
      </c>
    </row>
    <row r="22" spans="1:15" s="8" customFormat="1" ht="19.5" customHeight="1" x14ac:dyDescent="0.25">
      <c r="A22" s="3" t="s">
        <v>68</v>
      </c>
      <c r="B22" s="7" t="s">
        <v>69</v>
      </c>
      <c r="C22" s="3" t="s">
        <v>45</v>
      </c>
      <c r="D22" s="7" t="s">
        <v>46</v>
      </c>
      <c r="E22" s="7" t="s">
        <v>19</v>
      </c>
      <c r="F22" s="3">
        <v>234</v>
      </c>
      <c r="G22" s="3">
        <v>479</v>
      </c>
      <c r="H22" s="3">
        <v>10</v>
      </c>
      <c r="I22" s="3">
        <v>47</v>
      </c>
      <c r="J22" s="3">
        <v>12</v>
      </c>
      <c r="K22" s="3">
        <f t="shared" si="0"/>
        <v>4790</v>
      </c>
      <c r="L22" s="3">
        <f t="shared" si="1"/>
        <v>2450</v>
      </c>
      <c r="M22" s="7" t="str">
        <f t="shared" si="3"/>
        <v>Reorder</v>
      </c>
      <c r="N22" s="7" t="str">
        <f t="shared" si="4"/>
        <v>03/2024</v>
      </c>
      <c r="O22" s="1" t="str">
        <f t="shared" si="2"/>
        <v xml:space="preserve">High Profit </v>
      </c>
    </row>
    <row r="23" spans="1:15" s="8" customFormat="1" ht="19.5" customHeight="1" x14ac:dyDescent="0.25">
      <c r="A23" s="3" t="s">
        <v>70</v>
      </c>
      <c r="B23" s="7" t="s">
        <v>71</v>
      </c>
      <c r="C23" s="3" t="s">
        <v>45</v>
      </c>
      <c r="D23" s="7" t="s">
        <v>46</v>
      </c>
      <c r="E23" s="7" t="s">
        <v>19</v>
      </c>
      <c r="F23" s="3">
        <v>701</v>
      </c>
      <c r="G23" s="3">
        <v>1136</v>
      </c>
      <c r="H23" s="3">
        <v>9</v>
      </c>
      <c r="I23" s="3">
        <v>76</v>
      </c>
      <c r="J23" s="3">
        <v>27</v>
      </c>
      <c r="K23" s="3">
        <f t="shared" si="0"/>
        <v>10224</v>
      </c>
      <c r="L23" s="3">
        <f t="shared" si="1"/>
        <v>3915</v>
      </c>
      <c r="M23" s="7" t="str">
        <f t="shared" si="3"/>
        <v>Reorder</v>
      </c>
      <c r="N23" s="7" t="str">
        <f t="shared" si="4"/>
        <v>03/2024</v>
      </c>
      <c r="O23" s="1" t="str">
        <f t="shared" si="2"/>
        <v xml:space="preserve">High Profit </v>
      </c>
    </row>
    <row r="24" spans="1:15" s="8" customFormat="1" ht="19.5" customHeight="1" x14ac:dyDescent="0.25">
      <c r="A24" s="3" t="s">
        <v>72</v>
      </c>
      <c r="B24" s="7" t="s">
        <v>73</v>
      </c>
      <c r="C24" s="3" t="s">
        <v>74</v>
      </c>
      <c r="D24" s="7" t="s">
        <v>75</v>
      </c>
      <c r="E24" s="7" t="s">
        <v>26</v>
      </c>
      <c r="F24" s="3">
        <v>440</v>
      </c>
      <c r="G24" s="3">
        <v>747</v>
      </c>
      <c r="H24" s="3">
        <v>5</v>
      </c>
      <c r="I24" s="3">
        <v>8</v>
      </c>
      <c r="J24" s="3">
        <v>20</v>
      </c>
      <c r="K24" s="3">
        <f t="shared" si="0"/>
        <v>3735</v>
      </c>
      <c r="L24" s="3">
        <f t="shared" si="1"/>
        <v>1535</v>
      </c>
      <c r="M24" s="7" t="str">
        <f t="shared" si="3"/>
        <v>Ok</v>
      </c>
      <c r="N24" s="7" t="str">
        <f t="shared" si="4"/>
        <v>06/2024</v>
      </c>
      <c r="O24" s="1" t="str">
        <f t="shared" si="2"/>
        <v>Low Profit</v>
      </c>
    </row>
    <row r="25" spans="1:15" s="8" customFormat="1" ht="19.5" customHeight="1" x14ac:dyDescent="0.25">
      <c r="A25" s="3" t="s">
        <v>76</v>
      </c>
      <c r="B25" s="7" t="s">
        <v>77</v>
      </c>
      <c r="C25" s="3" t="s">
        <v>31</v>
      </c>
      <c r="D25" s="7" t="s">
        <v>32</v>
      </c>
      <c r="E25" s="7" t="s">
        <v>14</v>
      </c>
      <c r="F25" s="3">
        <v>1899</v>
      </c>
      <c r="G25" s="3">
        <v>2109</v>
      </c>
      <c r="H25" s="3">
        <v>3</v>
      </c>
      <c r="I25" s="3">
        <v>5</v>
      </c>
      <c r="J25" s="3">
        <v>11</v>
      </c>
      <c r="K25" s="3">
        <f t="shared" si="0"/>
        <v>6327</v>
      </c>
      <c r="L25" s="3">
        <f t="shared" si="1"/>
        <v>630</v>
      </c>
      <c r="M25" s="7" t="str">
        <f t="shared" si="3"/>
        <v>Ok</v>
      </c>
      <c r="N25" s="7" t="str">
        <f t="shared" si="4"/>
        <v>05/2024</v>
      </c>
      <c r="O25" s="1" t="str">
        <f t="shared" si="2"/>
        <v>Low Profit</v>
      </c>
    </row>
    <row r="26" spans="1:15" s="8" customFormat="1" ht="19.5" customHeight="1" x14ac:dyDescent="0.25">
      <c r="A26" s="3" t="s">
        <v>78</v>
      </c>
      <c r="B26" s="7" t="s">
        <v>79</v>
      </c>
      <c r="C26" s="3" t="s">
        <v>51</v>
      </c>
      <c r="D26" s="7" t="s">
        <v>52</v>
      </c>
      <c r="E26" s="7" t="s">
        <v>19</v>
      </c>
      <c r="F26" s="3">
        <v>577</v>
      </c>
      <c r="G26" s="3">
        <v>975</v>
      </c>
      <c r="H26" s="3">
        <v>9</v>
      </c>
      <c r="I26" s="3">
        <v>10</v>
      </c>
      <c r="J26" s="3">
        <v>26</v>
      </c>
      <c r="K26" s="3">
        <f t="shared" si="0"/>
        <v>8775</v>
      </c>
      <c r="L26" s="3">
        <f t="shared" si="1"/>
        <v>3582</v>
      </c>
      <c r="M26" s="7" t="str">
        <f t="shared" si="3"/>
        <v>Ok</v>
      </c>
      <c r="N26" s="7" t="str">
        <f t="shared" si="4"/>
        <v>06/2024</v>
      </c>
      <c r="O26" s="1" t="str">
        <f t="shared" si="2"/>
        <v xml:space="preserve">High Profit </v>
      </c>
    </row>
    <row r="27" spans="1:15" s="8" customFormat="1" ht="19.5" customHeight="1" x14ac:dyDescent="0.25">
      <c r="A27" s="3" t="s">
        <v>80</v>
      </c>
      <c r="B27" s="7" t="s">
        <v>81</v>
      </c>
      <c r="C27" s="3" t="s">
        <v>45</v>
      </c>
      <c r="D27" s="7" t="s">
        <v>46</v>
      </c>
      <c r="E27" s="7" t="s">
        <v>19</v>
      </c>
      <c r="F27" s="3">
        <v>769</v>
      </c>
      <c r="G27" s="3">
        <v>959</v>
      </c>
      <c r="H27" s="3">
        <v>4</v>
      </c>
      <c r="I27" s="3">
        <v>57</v>
      </c>
      <c r="J27" s="3">
        <v>26</v>
      </c>
      <c r="K27" s="3">
        <f t="shared" si="0"/>
        <v>3836</v>
      </c>
      <c r="L27" s="3">
        <f t="shared" si="1"/>
        <v>760</v>
      </c>
      <c r="M27" s="7" t="str">
        <f t="shared" si="3"/>
        <v>Reorder</v>
      </c>
      <c r="N27" s="7" t="str">
        <f t="shared" si="4"/>
        <v>06/2024</v>
      </c>
      <c r="O27" s="1" t="str">
        <f t="shared" si="2"/>
        <v>Low Profit</v>
      </c>
    </row>
    <row r="28" spans="1:15" s="8" customFormat="1" ht="19.5" customHeight="1" x14ac:dyDescent="0.25">
      <c r="A28" s="3" t="s">
        <v>82</v>
      </c>
      <c r="B28" s="7" t="s">
        <v>83</v>
      </c>
      <c r="C28" s="3" t="s">
        <v>35</v>
      </c>
      <c r="D28" s="7" t="s">
        <v>36</v>
      </c>
      <c r="E28" s="7" t="s">
        <v>26</v>
      </c>
      <c r="F28" s="3">
        <v>1352</v>
      </c>
      <c r="G28" s="3">
        <v>1809</v>
      </c>
      <c r="H28" s="3">
        <v>5</v>
      </c>
      <c r="I28" s="3">
        <v>13</v>
      </c>
      <c r="J28" s="3">
        <v>25</v>
      </c>
      <c r="K28" s="3">
        <f t="shared" si="0"/>
        <v>9045</v>
      </c>
      <c r="L28" s="3">
        <f t="shared" si="1"/>
        <v>2285</v>
      </c>
      <c r="M28" s="7" t="str">
        <f t="shared" si="3"/>
        <v>Ok</v>
      </c>
      <c r="N28" s="7" t="str">
        <f t="shared" si="4"/>
        <v>02/2024</v>
      </c>
      <c r="O28" s="1" t="str">
        <f t="shared" si="2"/>
        <v xml:space="preserve">High Profit </v>
      </c>
    </row>
    <row r="29" spans="1:15" s="8" customFormat="1" ht="19.5" customHeight="1" x14ac:dyDescent="0.25">
      <c r="A29" s="3" t="s">
        <v>84</v>
      </c>
      <c r="B29" s="7" t="s">
        <v>85</v>
      </c>
      <c r="C29" s="3" t="s">
        <v>35</v>
      </c>
      <c r="D29" s="7" t="s">
        <v>36</v>
      </c>
      <c r="E29" s="7" t="s">
        <v>26</v>
      </c>
      <c r="F29" s="3">
        <v>988</v>
      </c>
      <c r="G29" s="3">
        <v>1337</v>
      </c>
      <c r="H29" s="3">
        <v>8</v>
      </c>
      <c r="I29" s="3">
        <v>12</v>
      </c>
      <c r="J29" s="3">
        <v>30</v>
      </c>
      <c r="K29" s="3">
        <f t="shared" si="0"/>
        <v>10696</v>
      </c>
      <c r="L29" s="3">
        <f t="shared" si="1"/>
        <v>2792</v>
      </c>
      <c r="M29" s="7" t="str">
        <f t="shared" si="3"/>
        <v>Ok</v>
      </c>
      <c r="N29" s="7" t="str">
        <f t="shared" si="4"/>
        <v>05/2024</v>
      </c>
      <c r="O29" s="1" t="str">
        <f t="shared" si="2"/>
        <v xml:space="preserve">High Profit </v>
      </c>
    </row>
    <row r="30" spans="1:15" s="8" customFormat="1" ht="19.5" customHeight="1" x14ac:dyDescent="0.25">
      <c r="A30" s="3" t="s">
        <v>86</v>
      </c>
      <c r="B30" s="7" t="s">
        <v>87</v>
      </c>
      <c r="C30" s="3" t="s">
        <v>17</v>
      </c>
      <c r="D30" s="7" t="s">
        <v>18</v>
      </c>
      <c r="E30" s="7" t="s">
        <v>19</v>
      </c>
      <c r="F30" s="3">
        <v>1630</v>
      </c>
      <c r="G30" s="3">
        <v>1869</v>
      </c>
      <c r="H30" s="3">
        <v>8</v>
      </c>
      <c r="I30" s="3">
        <v>18</v>
      </c>
      <c r="J30" s="3">
        <v>26</v>
      </c>
      <c r="K30" s="3">
        <f t="shared" si="0"/>
        <v>14952</v>
      </c>
      <c r="L30" s="3">
        <f t="shared" si="1"/>
        <v>1912</v>
      </c>
      <c r="M30" s="7" t="str">
        <f t="shared" si="3"/>
        <v>Ok</v>
      </c>
      <c r="N30" s="7" t="str">
        <f t="shared" si="4"/>
        <v>05/2024</v>
      </c>
      <c r="O30" s="1" t="str">
        <f t="shared" si="2"/>
        <v>Low Profit</v>
      </c>
    </row>
    <row r="31" spans="1:15" s="8" customFormat="1" ht="19.5" customHeight="1" x14ac:dyDescent="0.25">
      <c r="A31" s="3" t="s">
        <v>88</v>
      </c>
      <c r="B31" s="7" t="s">
        <v>21</v>
      </c>
      <c r="C31" s="3" t="s">
        <v>51</v>
      </c>
      <c r="D31" s="7" t="s">
        <v>52</v>
      </c>
      <c r="E31" s="7" t="s">
        <v>19</v>
      </c>
      <c r="F31" s="3">
        <v>852</v>
      </c>
      <c r="G31" s="3">
        <v>976</v>
      </c>
      <c r="H31" s="3">
        <v>10</v>
      </c>
      <c r="I31" s="3">
        <v>2</v>
      </c>
      <c r="J31" s="3">
        <v>24</v>
      </c>
      <c r="K31" s="3">
        <f t="shared" si="0"/>
        <v>9760</v>
      </c>
      <c r="L31" s="3">
        <f t="shared" si="1"/>
        <v>1240</v>
      </c>
      <c r="M31" s="7" t="str">
        <f t="shared" si="3"/>
        <v>Ok</v>
      </c>
      <c r="N31" s="7" t="str">
        <f t="shared" si="4"/>
        <v>05/2024</v>
      </c>
      <c r="O31" s="1" t="str">
        <f t="shared" si="2"/>
        <v>Low Profit</v>
      </c>
    </row>
    <row r="32" spans="1:15" s="8" customFormat="1" ht="19.5" customHeight="1" x14ac:dyDescent="0.25">
      <c r="A32" s="3" t="s">
        <v>89</v>
      </c>
      <c r="B32" s="7" t="s">
        <v>90</v>
      </c>
      <c r="C32" s="3" t="s">
        <v>35</v>
      </c>
      <c r="D32" s="7" t="s">
        <v>36</v>
      </c>
      <c r="E32" s="7" t="s">
        <v>26</v>
      </c>
      <c r="F32" s="3">
        <v>962</v>
      </c>
      <c r="G32" s="3">
        <v>1389</v>
      </c>
      <c r="H32" s="3">
        <v>6</v>
      </c>
      <c r="I32" s="3">
        <v>20</v>
      </c>
      <c r="J32" s="3">
        <v>23</v>
      </c>
      <c r="K32" s="3">
        <f t="shared" si="0"/>
        <v>8334</v>
      </c>
      <c r="L32" s="3">
        <f t="shared" si="1"/>
        <v>2562</v>
      </c>
      <c r="M32" s="7" t="str">
        <f t="shared" si="3"/>
        <v>Ok</v>
      </c>
      <c r="N32" s="7" t="str">
        <f t="shared" si="4"/>
        <v>01/2024</v>
      </c>
      <c r="O32" s="1" t="str">
        <f t="shared" si="2"/>
        <v xml:space="preserve">High Profit </v>
      </c>
    </row>
    <row r="33" spans="1:15" s="8" customFormat="1" ht="19.5" customHeight="1" x14ac:dyDescent="0.25">
      <c r="A33" s="3" t="s">
        <v>91</v>
      </c>
      <c r="B33" s="7" t="s">
        <v>92</v>
      </c>
      <c r="C33" s="3" t="s">
        <v>12</v>
      </c>
      <c r="D33" s="7" t="s">
        <v>13</v>
      </c>
      <c r="E33" s="7" t="s">
        <v>14</v>
      </c>
      <c r="F33" s="3">
        <v>1860</v>
      </c>
      <c r="G33" s="3">
        <v>2154</v>
      </c>
      <c r="H33" s="3">
        <v>1</v>
      </c>
      <c r="I33" s="3">
        <v>31</v>
      </c>
      <c r="J33" s="3">
        <v>24</v>
      </c>
      <c r="K33" s="3">
        <f t="shared" si="0"/>
        <v>2154</v>
      </c>
      <c r="L33" s="3">
        <f t="shared" si="1"/>
        <v>294</v>
      </c>
      <c r="M33" s="7" t="str">
        <f t="shared" si="3"/>
        <v>Reorder</v>
      </c>
      <c r="N33" s="7" t="str">
        <f t="shared" si="4"/>
        <v>04/2024</v>
      </c>
      <c r="O33" s="1" t="str">
        <f t="shared" si="2"/>
        <v>Low Profit</v>
      </c>
    </row>
    <row r="34" spans="1:15" s="8" customFormat="1" ht="19.5" customHeight="1" x14ac:dyDescent="0.25">
      <c r="A34" s="3" t="s">
        <v>93</v>
      </c>
      <c r="B34" s="7" t="s">
        <v>94</v>
      </c>
      <c r="C34" s="3" t="s">
        <v>24</v>
      </c>
      <c r="D34" s="7" t="s">
        <v>25</v>
      </c>
      <c r="E34" s="7" t="s">
        <v>26</v>
      </c>
      <c r="F34" s="3">
        <v>918</v>
      </c>
      <c r="G34" s="3">
        <v>998</v>
      </c>
      <c r="H34" s="3">
        <v>6</v>
      </c>
      <c r="I34" s="3">
        <v>53</v>
      </c>
      <c r="J34" s="3">
        <v>15</v>
      </c>
      <c r="K34" s="3">
        <f t="shared" si="0"/>
        <v>5988</v>
      </c>
      <c r="L34" s="3">
        <f t="shared" si="1"/>
        <v>480</v>
      </c>
      <c r="M34" s="7" t="str">
        <f t="shared" si="3"/>
        <v>Reorder</v>
      </c>
      <c r="N34" s="7" t="str">
        <f t="shared" si="4"/>
        <v>02/2024</v>
      </c>
      <c r="O34" s="1" t="str">
        <f t="shared" si="2"/>
        <v>Low Profit</v>
      </c>
    </row>
    <row r="35" spans="1:15" s="8" customFormat="1" ht="19.5" customHeight="1" x14ac:dyDescent="0.25">
      <c r="A35" s="3" t="s">
        <v>95</v>
      </c>
      <c r="B35" s="7" t="s">
        <v>96</v>
      </c>
      <c r="C35" s="3" t="s">
        <v>41</v>
      </c>
      <c r="D35" s="7" t="s">
        <v>42</v>
      </c>
      <c r="E35" s="7" t="s">
        <v>14</v>
      </c>
      <c r="F35" s="3">
        <v>1344</v>
      </c>
      <c r="G35" s="3">
        <v>1567</v>
      </c>
      <c r="H35" s="3">
        <v>1</v>
      </c>
      <c r="I35" s="3">
        <v>74</v>
      </c>
      <c r="J35" s="3">
        <v>27</v>
      </c>
      <c r="K35" s="3">
        <f t="shared" si="0"/>
        <v>1567</v>
      </c>
      <c r="L35" s="3">
        <f t="shared" si="1"/>
        <v>223</v>
      </c>
      <c r="M35" s="7" t="str">
        <f t="shared" si="3"/>
        <v>Reorder</v>
      </c>
      <c r="N35" s="7" t="str">
        <f t="shared" si="4"/>
        <v>01/2024</v>
      </c>
      <c r="O35" s="1" t="str">
        <f t="shared" si="2"/>
        <v>Low Profit</v>
      </c>
    </row>
    <row r="36" spans="1:15" s="8" customFormat="1" ht="19.5" customHeight="1" x14ac:dyDescent="0.25">
      <c r="A36" s="3" t="s">
        <v>97</v>
      </c>
      <c r="B36" s="7" t="s">
        <v>98</v>
      </c>
      <c r="C36" s="3" t="s">
        <v>35</v>
      </c>
      <c r="D36" s="7" t="s">
        <v>36</v>
      </c>
      <c r="E36" s="7" t="s">
        <v>26</v>
      </c>
      <c r="F36" s="3">
        <v>1243</v>
      </c>
      <c r="G36" s="3">
        <v>1706</v>
      </c>
      <c r="H36" s="3">
        <v>7</v>
      </c>
      <c r="I36" s="3">
        <v>55</v>
      </c>
      <c r="J36" s="3">
        <v>27</v>
      </c>
      <c r="K36" s="3">
        <f t="shared" si="0"/>
        <v>11942</v>
      </c>
      <c r="L36" s="3">
        <f t="shared" si="1"/>
        <v>3241</v>
      </c>
      <c r="M36" s="7" t="str">
        <f t="shared" si="3"/>
        <v>Reorder</v>
      </c>
      <c r="N36" s="7" t="str">
        <f t="shared" si="4"/>
        <v>03/2024</v>
      </c>
      <c r="O36" s="1" t="str">
        <f t="shared" si="2"/>
        <v xml:space="preserve">High Profit </v>
      </c>
    </row>
    <row r="37" spans="1:15" s="8" customFormat="1" ht="19.5" customHeight="1" x14ac:dyDescent="0.25">
      <c r="A37" s="3" t="s">
        <v>99</v>
      </c>
      <c r="B37" s="7" t="s">
        <v>100</v>
      </c>
      <c r="C37" s="3" t="s">
        <v>31</v>
      </c>
      <c r="D37" s="7" t="s">
        <v>32</v>
      </c>
      <c r="E37" s="7" t="s">
        <v>14</v>
      </c>
      <c r="F37" s="3">
        <v>1587</v>
      </c>
      <c r="G37" s="3">
        <v>1831</v>
      </c>
      <c r="H37" s="3">
        <v>6</v>
      </c>
      <c r="I37" s="3">
        <v>79</v>
      </c>
      <c r="J37" s="3">
        <v>16</v>
      </c>
      <c r="K37" s="3">
        <f t="shared" si="0"/>
        <v>10986</v>
      </c>
      <c r="L37" s="3">
        <f t="shared" si="1"/>
        <v>1464</v>
      </c>
      <c r="M37" s="7" t="str">
        <f t="shared" si="3"/>
        <v>Reorder</v>
      </c>
      <c r="N37" s="7" t="str">
        <f t="shared" si="4"/>
        <v>03/2024</v>
      </c>
      <c r="O37" s="1" t="str">
        <f t="shared" si="2"/>
        <v>Low Profit</v>
      </c>
    </row>
    <row r="38" spans="1:15" s="8" customFormat="1" ht="19.5" customHeight="1" x14ac:dyDescent="0.25">
      <c r="A38" s="3" t="s">
        <v>101</v>
      </c>
      <c r="B38" s="7" t="s">
        <v>77</v>
      </c>
      <c r="C38" s="3" t="s">
        <v>17</v>
      </c>
      <c r="D38" s="7" t="s">
        <v>18</v>
      </c>
      <c r="E38" s="7" t="s">
        <v>19</v>
      </c>
      <c r="F38" s="3">
        <v>589</v>
      </c>
      <c r="G38" s="3">
        <v>639</v>
      </c>
      <c r="H38" s="3">
        <v>8</v>
      </c>
      <c r="I38" s="3">
        <v>48</v>
      </c>
      <c r="J38" s="3">
        <v>15</v>
      </c>
      <c r="K38" s="3">
        <f t="shared" si="0"/>
        <v>5112</v>
      </c>
      <c r="L38" s="3">
        <f t="shared" si="1"/>
        <v>400</v>
      </c>
      <c r="M38" s="7" t="str">
        <f t="shared" si="3"/>
        <v>Reorder</v>
      </c>
      <c r="N38" s="7" t="str">
        <f t="shared" si="4"/>
        <v>05/2024</v>
      </c>
      <c r="O38" s="1" t="str">
        <f t="shared" si="2"/>
        <v>Low Profit</v>
      </c>
    </row>
    <row r="39" spans="1:15" s="8" customFormat="1" ht="19.5" customHeight="1" x14ac:dyDescent="0.25">
      <c r="A39" s="3" t="s">
        <v>102</v>
      </c>
      <c r="B39" s="7" t="s">
        <v>103</v>
      </c>
      <c r="C39" s="3" t="s">
        <v>45</v>
      </c>
      <c r="D39" s="7" t="s">
        <v>46</v>
      </c>
      <c r="E39" s="7" t="s">
        <v>19</v>
      </c>
      <c r="F39" s="3">
        <v>1253</v>
      </c>
      <c r="G39" s="3">
        <v>1345</v>
      </c>
      <c r="H39" s="3">
        <v>3</v>
      </c>
      <c r="I39" s="3">
        <v>64</v>
      </c>
      <c r="J39" s="3">
        <v>16</v>
      </c>
      <c r="K39" s="3">
        <f t="shared" si="0"/>
        <v>4035</v>
      </c>
      <c r="L39" s="3">
        <f t="shared" si="1"/>
        <v>276</v>
      </c>
      <c r="M39" s="7" t="str">
        <f t="shared" si="3"/>
        <v>Reorder</v>
      </c>
      <c r="N39" s="7" t="str">
        <f t="shared" si="4"/>
        <v>03/2024</v>
      </c>
      <c r="O39" s="1" t="str">
        <f t="shared" si="2"/>
        <v>Low Profit</v>
      </c>
    </row>
    <row r="40" spans="1:15" s="8" customFormat="1" ht="19.5" customHeight="1" x14ac:dyDescent="0.25">
      <c r="A40" s="3" t="s">
        <v>104</v>
      </c>
      <c r="B40" s="7" t="s">
        <v>105</v>
      </c>
      <c r="C40" s="3" t="s">
        <v>45</v>
      </c>
      <c r="D40" s="7" t="s">
        <v>46</v>
      </c>
      <c r="E40" s="7" t="s">
        <v>19</v>
      </c>
      <c r="F40" s="3">
        <v>1034</v>
      </c>
      <c r="G40" s="3">
        <v>1261</v>
      </c>
      <c r="H40" s="3">
        <v>9</v>
      </c>
      <c r="I40" s="3">
        <v>83</v>
      </c>
      <c r="J40" s="3">
        <v>21</v>
      </c>
      <c r="K40" s="3">
        <f t="shared" si="0"/>
        <v>11349</v>
      </c>
      <c r="L40" s="3">
        <f t="shared" si="1"/>
        <v>2043</v>
      </c>
      <c r="M40" s="7" t="str">
        <f t="shared" si="3"/>
        <v>Reorder</v>
      </c>
      <c r="N40" s="7" t="str">
        <f t="shared" si="4"/>
        <v>06/2024</v>
      </c>
      <c r="O40" s="1" t="str">
        <f t="shared" si="2"/>
        <v xml:space="preserve">High Profit </v>
      </c>
    </row>
    <row r="41" spans="1:15" s="8" customFormat="1" ht="19.5" customHeight="1" x14ac:dyDescent="0.25">
      <c r="A41" s="3" t="s">
        <v>106</v>
      </c>
      <c r="B41" s="7" t="s">
        <v>107</v>
      </c>
      <c r="C41" s="3" t="s">
        <v>41</v>
      </c>
      <c r="D41" s="7" t="s">
        <v>42</v>
      </c>
      <c r="E41" s="7" t="s">
        <v>14</v>
      </c>
      <c r="F41" s="3">
        <v>1234</v>
      </c>
      <c r="G41" s="3">
        <v>1522</v>
      </c>
      <c r="H41" s="3">
        <v>4</v>
      </c>
      <c r="I41" s="3">
        <v>7</v>
      </c>
      <c r="J41" s="3">
        <v>23</v>
      </c>
      <c r="K41" s="3">
        <f t="shared" si="0"/>
        <v>6088</v>
      </c>
      <c r="L41" s="3">
        <f t="shared" si="1"/>
        <v>1152</v>
      </c>
      <c r="M41" s="7" t="str">
        <f t="shared" si="3"/>
        <v>Ok</v>
      </c>
      <c r="N41" s="7" t="str">
        <f t="shared" si="4"/>
        <v>02/2024</v>
      </c>
      <c r="O41" s="1" t="str">
        <f t="shared" si="2"/>
        <v>Low Profit</v>
      </c>
    </row>
    <row r="42" spans="1:15" s="8" customFormat="1" ht="19.5" customHeight="1" x14ac:dyDescent="0.25">
      <c r="A42" s="3" t="s">
        <v>108</v>
      </c>
      <c r="B42" s="7" t="s">
        <v>109</v>
      </c>
      <c r="C42" s="3" t="s">
        <v>45</v>
      </c>
      <c r="D42" s="7" t="s">
        <v>46</v>
      </c>
      <c r="E42" s="7" t="s">
        <v>19</v>
      </c>
      <c r="F42" s="3">
        <v>1170</v>
      </c>
      <c r="G42" s="3">
        <v>1644</v>
      </c>
      <c r="H42" s="3">
        <v>3</v>
      </c>
      <c r="I42" s="3">
        <v>30</v>
      </c>
      <c r="J42" s="3">
        <v>15</v>
      </c>
      <c r="K42" s="3">
        <f t="shared" si="0"/>
        <v>4932</v>
      </c>
      <c r="L42" s="3">
        <f t="shared" si="1"/>
        <v>1422</v>
      </c>
      <c r="M42" s="7" t="str">
        <f t="shared" si="3"/>
        <v>Reorder</v>
      </c>
      <c r="N42" s="7" t="str">
        <f t="shared" si="4"/>
        <v>06/2024</v>
      </c>
      <c r="O42" s="1" t="str">
        <f t="shared" si="2"/>
        <v>Low Profit</v>
      </c>
    </row>
    <row r="43" spans="1:15" s="8" customFormat="1" ht="19.5" customHeight="1" x14ac:dyDescent="0.25">
      <c r="A43" s="3" t="s">
        <v>110</v>
      </c>
      <c r="B43" s="7" t="s">
        <v>111</v>
      </c>
      <c r="C43" s="3" t="s">
        <v>45</v>
      </c>
      <c r="D43" s="7" t="s">
        <v>46</v>
      </c>
      <c r="E43" s="7" t="s">
        <v>19</v>
      </c>
      <c r="F43" s="3">
        <v>1333</v>
      </c>
      <c r="G43" s="3">
        <v>1494</v>
      </c>
      <c r="H43" s="3">
        <v>6</v>
      </c>
      <c r="I43" s="3">
        <v>100</v>
      </c>
      <c r="J43" s="3">
        <v>29</v>
      </c>
      <c r="K43" s="3">
        <f t="shared" si="0"/>
        <v>8964</v>
      </c>
      <c r="L43" s="3">
        <f t="shared" si="1"/>
        <v>966</v>
      </c>
      <c r="M43" s="7" t="str">
        <f t="shared" si="3"/>
        <v>Reorder</v>
      </c>
      <c r="N43" s="7" t="str">
        <f t="shared" si="4"/>
        <v>04/2024</v>
      </c>
      <c r="O43" s="1" t="str">
        <f t="shared" si="2"/>
        <v>Low Profit</v>
      </c>
    </row>
    <row r="44" spans="1:15" s="8" customFormat="1" ht="19.5" customHeight="1" x14ac:dyDescent="0.25">
      <c r="A44" s="3" t="s">
        <v>112</v>
      </c>
      <c r="B44" s="7" t="s">
        <v>113</v>
      </c>
      <c r="C44" s="3" t="s">
        <v>41</v>
      </c>
      <c r="D44" s="7" t="s">
        <v>42</v>
      </c>
      <c r="E44" s="7" t="s">
        <v>14</v>
      </c>
      <c r="F44" s="3">
        <v>1679</v>
      </c>
      <c r="G44" s="3">
        <v>1917</v>
      </c>
      <c r="H44" s="3">
        <v>3</v>
      </c>
      <c r="I44" s="3">
        <v>50</v>
      </c>
      <c r="J44" s="3">
        <v>12</v>
      </c>
      <c r="K44" s="3">
        <f t="shared" si="0"/>
        <v>5751</v>
      </c>
      <c r="L44" s="3">
        <f t="shared" si="1"/>
        <v>714</v>
      </c>
      <c r="M44" s="7" t="str">
        <f t="shared" si="3"/>
        <v>Reorder</v>
      </c>
      <c r="N44" s="7" t="str">
        <f t="shared" si="4"/>
        <v>03/2024</v>
      </c>
      <c r="O44" s="1" t="str">
        <f t="shared" si="2"/>
        <v>Low Profit</v>
      </c>
    </row>
    <row r="45" spans="1:15" s="8" customFormat="1" ht="19.5" customHeight="1" x14ac:dyDescent="0.25">
      <c r="A45" s="3" t="s">
        <v>114</v>
      </c>
      <c r="B45" s="7" t="s">
        <v>115</v>
      </c>
      <c r="C45" s="3" t="s">
        <v>51</v>
      </c>
      <c r="D45" s="7" t="s">
        <v>52</v>
      </c>
      <c r="E45" s="7" t="s">
        <v>19</v>
      </c>
      <c r="F45" s="3">
        <v>1529</v>
      </c>
      <c r="G45" s="3">
        <v>1864</v>
      </c>
      <c r="H45" s="3">
        <v>4</v>
      </c>
      <c r="I45" s="3">
        <v>56</v>
      </c>
      <c r="J45" s="3">
        <v>23</v>
      </c>
      <c r="K45" s="3">
        <f t="shared" si="0"/>
        <v>7456</v>
      </c>
      <c r="L45" s="3">
        <f t="shared" si="1"/>
        <v>1340</v>
      </c>
      <c r="M45" s="7" t="str">
        <f t="shared" si="3"/>
        <v>Reorder</v>
      </c>
      <c r="N45" s="7" t="str">
        <f t="shared" si="4"/>
        <v>06/2024</v>
      </c>
      <c r="O45" s="1" t="str">
        <f t="shared" si="2"/>
        <v>Low Profit</v>
      </c>
    </row>
    <row r="46" spans="1:15" s="8" customFormat="1" ht="19.5" customHeight="1" x14ac:dyDescent="0.25">
      <c r="A46" s="3" t="s">
        <v>116</v>
      </c>
      <c r="B46" s="7" t="s">
        <v>117</v>
      </c>
      <c r="C46" s="3" t="s">
        <v>12</v>
      </c>
      <c r="D46" s="7" t="s">
        <v>13</v>
      </c>
      <c r="E46" s="7" t="s">
        <v>14</v>
      </c>
      <c r="F46" s="3">
        <v>1628</v>
      </c>
      <c r="G46" s="3">
        <v>1831</v>
      </c>
      <c r="H46" s="3">
        <v>10</v>
      </c>
      <c r="I46" s="3">
        <v>17</v>
      </c>
      <c r="J46" s="3">
        <v>16</v>
      </c>
      <c r="K46" s="3">
        <f t="shared" si="0"/>
        <v>18310</v>
      </c>
      <c r="L46" s="3">
        <f t="shared" si="1"/>
        <v>2030</v>
      </c>
      <c r="M46" s="7" t="str">
        <f t="shared" si="3"/>
        <v>Reorder</v>
      </c>
      <c r="N46" s="7" t="str">
        <f t="shared" si="4"/>
        <v>01/2024</v>
      </c>
      <c r="O46" s="1" t="str">
        <f t="shared" si="2"/>
        <v xml:space="preserve">High Profit </v>
      </c>
    </row>
    <row r="47" spans="1:15" s="8" customFormat="1" ht="19.5" customHeight="1" x14ac:dyDescent="0.25">
      <c r="A47" s="3" t="s">
        <v>118</v>
      </c>
      <c r="B47" s="7" t="s">
        <v>119</v>
      </c>
      <c r="C47" s="3" t="s">
        <v>45</v>
      </c>
      <c r="D47" s="7" t="s">
        <v>46</v>
      </c>
      <c r="E47" s="7" t="s">
        <v>19</v>
      </c>
      <c r="F47" s="3">
        <v>451</v>
      </c>
      <c r="G47" s="3">
        <v>937</v>
      </c>
      <c r="H47" s="3">
        <v>1</v>
      </c>
      <c r="I47" s="3">
        <v>74</v>
      </c>
      <c r="J47" s="3">
        <v>25</v>
      </c>
      <c r="K47" s="3">
        <f t="shared" si="0"/>
        <v>937</v>
      </c>
      <c r="L47" s="3">
        <f t="shared" si="1"/>
        <v>486</v>
      </c>
      <c r="M47" s="7" t="str">
        <f t="shared" si="3"/>
        <v>Reorder</v>
      </c>
      <c r="N47" s="7" t="str">
        <f t="shared" si="4"/>
        <v>01/2024</v>
      </c>
      <c r="O47" s="1" t="str">
        <f t="shared" si="2"/>
        <v>Low Profit</v>
      </c>
    </row>
    <row r="48" spans="1:15" s="8" customFormat="1" ht="19.5" customHeight="1" x14ac:dyDescent="0.25">
      <c r="A48" s="3" t="s">
        <v>120</v>
      </c>
      <c r="B48" s="7" t="s">
        <v>121</v>
      </c>
      <c r="C48" s="3" t="s">
        <v>35</v>
      </c>
      <c r="D48" s="7" t="s">
        <v>36</v>
      </c>
      <c r="E48" s="7" t="s">
        <v>26</v>
      </c>
      <c r="F48" s="3">
        <v>1416</v>
      </c>
      <c r="G48" s="3">
        <v>1826</v>
      </c>
      <c r="H48" s="3">
        <v>8</v>
      </c>
      <c r="I48" s="3">
        <v>31</v>
      </c>
      <c r="J48" s="3">
        <v>29</v>
      </c>
      <c r="K48" s="3">
        <f t="shared" si="0"/>
        <v>14608</v>
      </c>
      <c r="L48" s="3">
        <f t="shared" si="1"/>
        <v>3280</v>
      </c>
      <c r="M48" s="7" t="str">
        <f t="shared" si="3"/>
        <v>Reorder</v>
      </c>
      <c r="N48" s="7" t="str">
        <f t="shared" si="4"/>
        <v>04/2024</v>
      </c>
      <c r="O48" s="1" t="str">
        <f t="shared" si="2"/>
        <v xml:space="preserve">High Profit </v>
      </c>
    </row>
    <row r="49" spans="1:15" s="8" customFormat="1" ht="19.5" customHeight="1" x14ac:dyDescent="0.25">
      <c r="A49" s="3" t="s">
        <v>122</v>
      </c>
      <c r="B49" s="7" t="s">
        <v>121</v>
      </c>
      <c r="C49" s="3" t="s">
        <v>12</v>
      </c>
      <c r="D49" s="7" t="s">
        <v>13</v>
      </c>
      <c r="E49" s="7" t="s">
        <v>14</v>
      </c>
      <c r="F49" s="3">
        <v>490</v>
      </c>
      <c r="G49" s="3">
        <v>986</v>
      </c>
      <c r="H49" s="3">
        <v>3</v>
      </c>
      <c r="I49" s="3">
        <v>52</v>
      </c>
      <c r="J49" s="3">
        <v>20</v>
      </c>
      <c r="K49" s="3">
        <f t="shared" si="0"/>
        <v>2958</v>
      </c>
      <c r="L49" s="3">
        <f t="shared" si="1"/>
        <v>1488</v>
      </c>
      <c r="M49" s="7" t="str">
        <f t="shared" si="3"/>
        <v>Reorder</v>
      </c>
      <c r="N49" s="7" t="str">
        <f t="shared" si="4"/>
        <v>04/2024</v>
      </c>
      <c r="O49" s="1" t="str">
        <f t="shared" si="2"/>
        <v>Low Profit</v>
      </c>
    </row>
    <row r="50" spans="1:15" s="8" customFormat="1" ht="19.5" customHeight="1" x14ac:dyDescent="0.25">
      <c r="A50" s="3" t="s">
        <v>123</v>
      </c>
      <c r="B50" s="7" t="s">
        <v>124</v>
      </c>
      <c r="C50" s="3" t="s">
        <v>51</v>
      </c>
      <c r="D50" s="7" t="s">
        <v>52</v>
      </c>
      <c r="E50" s="7" t="s">
        <v>19</v>
      </c>
      <c r="F50" s="3">
        <v>668</v>
      </c>
      <c r="G50" s="3">
        <v>917</v>
      </c>
      <c r="H50" s="3">
        <v>1</v>
      </c>
      <c r="I50" s="3">
        <v>23</v>
      </c>
      <c r="J50" s="3">
        <v>21</v>
      </c>
      <c r="K50" s="3">
        <f t="shared" si="0"/>
        <v>917</v>
      </c>
      <c r="L50" s="3">
        <f t="shared" si="1"/>
        <v>249</v>
      </c>
      <c r="M50" s="7" t="str">
        <f t="shared" si="3"/>
        <v>Reorder</v>
      </c>
      <c r="N50" s="7" t="str">
        <f t="shared" si="4"/>
        <v>04/2024</v>
      </c>
      <c r="O50" s="1" t="str">
        <f t="shared" si="2"/>
        <v>Low Profit</v>
      </c>
    </row>
    <row r="51" spans="1:15" s="8" customFormat="1" ht="19.5" customHeight="1" x14ac:dyDescent="0.25">
      <c r="A51" s="3" t="s">
        <v>125</v>
      </c>
      <c r="B51" s="7" t="s">
        <v>126</v>
      </c>
      <c r="C51" s="3" t="s">
        <v>74</v>
      </c>
      <c r="D51" s="7" t="s">
        <v>75</v>
      </c>
      <c r="E51" s="7" t="s">
        <v>26</v>
      </c>
      <c r="F51" s="3">
        <v>1530</v>
      </c>
      <c r="G51" s="3">
        <v>1915</v>
      </c>
      <c r="H51" s="3">
        <v>6</v>
      </c>
      <c r="I51" s="3">
        <v>85</v>
      </c>
      <c r="J51" s="3">
        <v>20</v>
      </c>
      <c r="K51" s="3">
        <f t="shared" si="0"/>
        <v>11490</v>
      </c>
      <c r="L51" s="3">
        <f t="shared" si="1"/>
        <v>2310</v>
      </c>
      <c r="M51" s="7" t="str">
        <f t="shared" si="3"/>
        <v>Reorder</v>
      </c>
      <c r="N51" s="7" t="str">
        <f t="shared" si="4"/>
        <v>01/2024</v>
      </c>
      <c r="O51" s="1" t="str">
        <f t="shared" si="2"/>
        <v xml:space="preserve">High Profit </v>
      </c>
    </row>
    <row r="52" spans="1:15" s="8" customFormat="1" ht="19.5" customHeight="1" x14ac:dyDescent="0.25">
      <c r="A52" s="3" t="s">
        <v>127</v>
      </c>
      <c r="B52" s="7" t="s">
        <v>128</v>
      </c>
      <c r="C52" s="3" t="s">
        <v>74</v>
      </c>
      <c r="D52" s="7" t="s">
        <v>75</v>
      </c>
      <c r="E52" s="7" t="s">
        <v>26</v>
      </c>
      <c r="F52" s="3">
        <v>575</v>
      </c>
      <c r="G52" s="3">
        <v>629</v>
      </c>
      <c r="H52" s="3">
        <v>10</v>
      </c>
      <c r="I52" s="3">
        <v>25</v>
      </c>
      <c r="J52" s="3">
        <v>14</v>
      </c>
      <c r="K52" s="3">
        <f t="shared" si="0"/>
        <v>6290</v>
      </c>
      <c r="L52" s="3">
        <f t="shared" si="1"/>
        <v>540</v>
      </c>
      <c r="M52" s="7" t="str">
        <f t="shared" si="3"/>
        <v>Reorder</v>
      </c>
      <c r="N52" s="7" t="str">
        <f t="shared" si="4"/>
        <v>01/2024</v>
      </c>
      <c r="O52" s="1" t="str">
        <f t="shared" si="2"/>
        <v>Low Profit</v>
      </c>
    </row>
    <row r="53" spans="1:15" s="8" customFormat="1" ht="19.5" customHeight="1" x14ac:dyDescent="0.25">
      <c r="A53" s="3" t="s">
        <v>129</v>
      </c>
      <c r="B53" s="7" t="s">
        <v>130</v>
      </c>
      <c r="C53" s="3" t="s">
        <v>17</v>
      </c>
      <c r="D53" s="7" t="s">
        <v>18</v>
      </c>
      <c r="E53" s="7" t="s">
        <v>19</v>
      </c>
      <c r="F53" s="3">
        <v>481</v>
      </c>
      <c r="G53" s="3">
        <v>580</v>
      </c>
      <c r="H53" s="3">
        <v>9</v>
      </c>
      <c r="I53" s="3">
        <v>47</v>
      </c>
      <c r="J53" s="3">
        <v>28</v>
      </c>
      <c r="K53" s="3">
        <f t="shared" si="0"/>
        <v>5220</v>
      </c>
      <c r="L53" s="3">
        <f t="shared" si="1"/>
        <v>891</v>
      </c>
      <c r="M53" s="7" t="str">
        <f t="shared" si="3"/>
        <v>Reorder</v>
      </c>
      <c r="N53" s="7" t="str">
        <f t="shared" si="4"/>
        <v>06/2024</v>
      </c>
      <c r="O53" s="1" t="str">
        <f t="shared" si="2"/>
        <v>Low Profit</v>
      </c>
    </row>
    <row r="54" spans="1:15" s="8" customFormat="1" ht="19.5" customHeight="1" x14ac:dyDescent="0.25">
      <c r="A54" s="3" t="s">
        <v>131</v>
      </c>
      <c r="B54" s="7" t="s">
        <v>132</v>
      </c>
      <c r="C54" s="3" t="s">
        <v>17</v>
      </c>
      <c r="D54" s="7" t="s">
        <v>18</v>
      </c>
      <c r="E54" s="7" t="s">
        <v>19</v>
      </c>
      <c r="F54" s="3">
        <v>1517</v>
      </c>
      <c r="G54" s="3">
        <v>1946</v>
      </c>
      <c r="H54" s="3">
        <v>4</v>
      </c>
      <c r="I54" s="3">
        <v>45</v>
      </c>
      <c r="J54" s="3">
        <v>14</v>
      </c>
      <c r="K54" s="3">
        <f t="shared" si="0"/>
        <v>7784</v>
      </c>
      <c r="L54" s="3">
        <f t="shared" si="1"/>
        <v>1716</v>
      </c>
      <c r="M54" s="7" t="str">
        <f t="shared" si="3"/>
        <v>Reorder</v>
      </c>
      <c r="N54" s="7" t="str">
        <f t="shared" si="4"/>
        <v>03/2024</v>
      </c>
      <c r="O54" s="1" t="str">
        <f t="shared" si="2"/>
        <v>Low Profit</v>
      </c>
    </row>
    <row r="55" spans="1:15" s="8" customFormat="1" ht="19.5" customHeight="1" x14ac:dyDescent="0.25">
      <c r="A55" s="3" t="s">
        <v>133</v>
      </c>
      <c r="B55" s="7" t="s">
        <v>134</v>
      </c>
      <c r="C55" s="3" t="s">
        <v>17</v>
      </c>
      <c r="D55" s="7" t="s">
        <v>18</v>
      </c>
      <c r="E55" s="7" t="s">
        <v>19</v>
      </c>
      <c r="F55" s="3">
        <v>935</v>
      </c>
      <c r="G55" s="3">
        <v>1283</v>
      </c>
      <c r="H55" s="3">
        <v>3</v>
      </c>
      <c r="I55" s="3">
        <v>56</v>
      </c>
      <c r="J55" s="3">
        <v>29</v>
      </c>
      <c r="K55" s="3">
        <f t="shared" si="0"/>
        <v>3849</v>
      </c>
      <c r="L55" s="3">
        <f t="shared" si="1"/>
        <v>1044</v>
      </c>
      <c r="M55" s="7" t="str">
        <f t="shared" si="3"/>
        <v>Reorder</v>
      </c>
      <c r="N55" s="7" t="str">
        <f t="shared" si="4"/>
        <v>04/2024</v>
      </c>
      <c r="O55" s="1" t="str">
        <f t="shared" si="2"/>
        <v>Low Profit</v>
      </c>
    </row>
    <row r="56" spans="1:15" s="8" customFormat="1" ht="19.5" customHeight="1" x14ac:dyDescent="0.25">
      <c r="A56" s="3" t="s">
        <v>135</v>
      </c>
      <c r="B56" s="7" t="s">
        <v>136</v>
      </c>
      <c r="C56" s="3" t="s">
        <v>45</v>
      </c>
      <c r="D56" s="7" t="s">
        <v>46</v>
      </c>
      <c r="E56" s="7" t="s">
        <v>19</v>
      </c>
      <c r="F56" s="3">
        <v>1705</v>
      </c>
      <c r="G56" s="3">
        <v>2049</v>
      </c>
      <c r="H56" s="3">
        <v>7</v>
      </c>
      <c r="I56" s="3">
        <v>49</v>
      </c>
      <c r="J56" s="3">
        <v>28</v>
      </c>
      <c r="K56" s="3">
        <f t="shared" si="0"/>
        <v>14343</v>
      </c>
      <c r="L56" s="3">
        <f t="shared" si="1"/>
        <v>2408</v>
      </c>
      <c r="M56" s="7" t="str">
        <f t="shared" si="3"/>
        <v>Reorder</v>
      </c>
      <c r="N56" s="7" t="str">
        <f t="shared" si="4"/>
        <v>01/2024</v>
      </c>
      <c r="O56" s="1" t="str">
        <f t="shared" si="2"/>
        <v xml:space="preserve">High Profit </v>
      </c>
    </row>
    <row r="57" spans="1:15" s="8" customFormat="1" ht="19.5" customHeight="1" x14ac:dyDescent="0.25">
      <c r="A57" s="3" t="s">
        <v>137</v>
      </c>
      <c r="B57" s="7" t="s">
        <v>138</v>
      </c>
      <c r="C57" s="3" t="s">
        <v>17</v>
      </c>
      <c r="D57" s="7" t="s">
        <v>18</v>
      </c>
      <c r="E57" s="7" t="s">
        <v>19</v>
      </c>
      <c r="F57" s="3">
        <v>1749</v>
      </c>
      <c r="G57" s="3">
        <v>1929</v>
      </c>
      <c r="H57" s="3">
        <v>8</v>
      </c>
      <c r="I57" s="3">
        <v>50</v>
      </c>
      <c r="J57" s="3">
        <v>30</v>
      </c>
      <c r="K57" s="3">
        <f t="shared" si="0"/>
        <v>15432</v>
      </c>
      <c r="L57" s="3">
        <f t="shared" si="1"/>
        <v>1440</v>
      </c>
      <c r="M57" s="7" t="str">
        <f t="shared" si="3"/>
        <v>Reorder</v>
      </c>
      <c r="N57" s="7" t="str">
        <f t="shared" si="4"/>
        <v>01/2024</v>
      </c>
      <c r="O57" s="1" t="str">
        <f t="shared" si="2"/>
        <v>Low Profit</v>
      </c>
    </row>
    <row r="58" spans="1:15" s="8" customFormat="1" ht="19.5" customHeight="1" x14ac:dyDescent="0.25">
      <c r="A58" s="3" t="s">
        <v>139</v>
      </c>
      <c r="B58" s="7" t="s">
        <v>140</v>
      </c>
      <c r="C58" s="3" t="s">
        <v>45</v>
      </c>
      <c r="D58" s="7" t="s">
        <v>46</v>
      </c>
      <c r="E58" s="7" t="s">
        <v>19</v>
      </c>
      <c r="F58" s="3">
        <v>425</v>
      </c>
      <c r="G58" s="3">
        <v>682</v>
      </c>
      <c r="H58" s="3">
        <v>8</v>
      </c>
      <c r="I58" s="3">
        <v>33</v>
      </c>
      <c r="J58" s="3">
        <v>17</v>
      </c>
      <c r="K58" s="3">
        <f t="shared" si="0"/>
        <v>5456</v>
      </c>
      <c r="L58" s="3">
        <f t="shared" si="1"/>
        <v>2056</v>
      </c>
      <c r="M58" s="7" t="str">
        <f t="shared" si="3"/>
        <v>Reorder</v>
      </c>
      <c r="N58" s="7" t="str">
        <f t="shared" si="4"/>
        <v>02/2024</v>
      </c>
      <c r="O58" s="1" t="str">
        <f t="shared" si="2"/>
        <v xml:space="preserve">High Profit </v>
      </c>
    </row>
    <row r="59" spans="1:15" s="8" customFormat="1" ht="19.5" customHeight="1" x14ac:dyDescent="0.25">
      <c r="A59" s="3" t="s">
        <v>141</v>
      </c>
      <c r="B59" s="7" t="s">
        <v>34</v>
      </c>
      <c r="C59" s="3" t="s">
        <v>41</v>
      </c>
      <c r="D59" s="7" t="s">
        <v>42</v>
      </c>
      <c r="E59" s="7" t="s">
        <v>14</v>
      </c>
      <c r="F59" s="3">
        <v>683</v>
      </c>
      <c r="G59" s="3">
        <v>786</v>
      </c>
      <c r="H59" s="3">
        <v>8</v>
      </c>
      <c r="I59" s="3">
        <v>75</v>
      </c>
      <c r="J59" s="3">
        <v>17</v>
      </c>
      <c r="K59" s="3">
        <f t="shared" si="0"/>
        <v>6288</v>
      </c>
      <c r="L59" s="3">
        <f t="shared" si="1"/>
        <v>824</v>
      </c>
      <c r="M59" s="7" t="str">
        <f t="shared" si="3"/>
        <v>Reorder</v>
      </c>
      <c r="N59" s="7" t="str">
        <f t="shared" si="4"/>
        <v>03/2024</v>
      </c>
      <c r="O59" s="1" t="str">
        <f t="shared" si="2"/>
        <v>Low Profit</v>
      </c>
    </row>
    <row r="60" spans="1:15" s="8" customFormat="1" ht="19.5" customHeight="1" x14ac:dyDescent="0.25">
      <c r="A60" s="3" t="s">
        <v>142</v>
      </c>
      <c r="B60" s="7" t="s">
        <v>143</v>
      </c>
      <c r="C60" s="3" t="s">
        <v>51</v>
      </c>
      <c r="D60" s="7" t="s">
        <v>52</v>
      </c>
      <c r="E60" s="7" t="s">
        <v>19</v>
      </c>
      <c r="F60" s="3">
        <v>280</v>
      </c>
      <c r="G60" s="3">
        <v>646</v>
      </c>
      <c r="H60" s="3">
        <v>2</v>
      </c>
      <c r="I60" s="3">
        <v>82</v>
      </c>
      <c r="J60" s="3">
        <v>15</v>
      </c>
      <c r="K60" s="3">
        <f t="shared" si="0"/>
        <v>1292</v>
      </c>
      <c r="L60" s="3">
        <f t="shared" si="1"/>
        <v>732</v>
      </c>
      <c r="M60" s="7" t="str">
        <f t="shared" si="3"/>
        <v>Reorder</v>
      </c>
      <c r="N60" s="7" t="str">
        <f t="shared" si="4"/>
        <v>05/2024</v>
      </c>
      <c r="O60" s="1" t="str">
        <f t="shared" si="2"/>
        <v>Low Profit</v>
      </c>
    </row>
    <row r="61" spans="1:15" s="8" customFormat="1" ht="19.5" customHeight="1" x14ac:dyDescent="0.25">
      <c r="A61" s="3" t="s">
        <v>144</v>
      </c>
      <c r="B61" s="7" t="s">
        <v>145</v>
      </c>
      <c r="C61" s="3" t="s">
        <v>35</v>
      </c>
      <c r="D61" s="7" t="s">
        <v>36</v>
      </c>
      <c r="E61" s="7" t="s">
        <v>26</v>
      </c>
      <c r="F61" s="3">
        <v>1539</v>
      </c>
      <c r="G61" s="3">
        <v>1949</v>
      </c>
      <c r="H61" s="3">
        <v>7</v>
      </c>
      <c r="I61" s="3">
        <v>15</v>
      </c>
      <c r="J61" s="3">
        <v>26</v>
      </c>
      <c r="K61" s="3">
        <f t="shared" si="0"/>
        <v>13643</v>
      </c>
      <c r="L61" s="3">
        <f t="shared" si="1"/>
        <v>2870</v>
      </c>
      <c r="M61" s="7" t="str">
        <f t="shared" si="3"/>
        <v>Ok</v>
      </c>
      <c r="N61" s="7" t="str">
        <f t="shared" si="4"/>
        <v>01/2024</v>
      </c>
      <c r="O61" s="1" t="str">
        <f t="shared" si="2"/>
        <v xml:space="preserve">High Profit </v>
      </c>
    </row>
    <row r="62" spans="1:15" s="8" customFormat="1" ht="19.5" customHeight="1" x14ac:dyDescent="0.25">
      <c r="A62" s="3" t="s">
        <v>146</v>
      </c>
      <c r="B62" s="7" t="s">
        <v>147</v>
      </c>
      <c r="C62" s="3" t="s">
        <v>41</v>
      </c>
      <c r="D62" s="7" t="s">
        <v>42</v>
      </c>
      <c r="E62" s="7" t="s">
        <v>14</v>
      </c>
      <c r="F62" s="3">
        <v>1242</v>
      </c>
      <c r="G62" s="3">
        <v>1379</v>
      </c>
      <c r="H62" s="3">
        <v>2</v>
      </c>
      <c r="I62" s="3">
        <v>93</v>
      </c>
      <c r="J62" s="3">
        <v>22</v>
      </c>
      <c r="K62" s="3">
        <f t="shared" si="0"/>
        <v>2758</v>
      </c>
      <c r="L62" s="3">
        <f t="shared" si="1"/>
        <v>274</v>
      </c>
      <c r="M62" s="7" t="str">
        <f t="shared" si="3"/>
        <v>Reorder</v>
      </c>
      <c r="N62" s="7" t="str">
        <f t="shared" si="4"/>
        <v>06/2024</v>
      </c>
      <c r="O62" s="1" t="str">
        <f t="shared" si="2"/>
        <v>Low Profit</v>
      </c>
    </row>
    <row r="63" spans="1:15" s="8" customFormat="1" ht="19.5" customHeight="1" x14ac:dyDescent="0.25">
      <c r="A63" s="3" t="s">
        <v>148</v>
      </c>
      <c r="B63" s="7" t="s">
        <v>132</v>
      </c>
      <c r="C63" s="3" t="s">
        <v>41</v>
      </c>
      <c r="D63" s="7" t="s">
        <v>42</v>
      </c>
      <c r="E63" s="7" t="s">
        <v>14</v>
      </c>
      <c r="F63" s="3">
        <v>1683</v>
      </c>
      <c r="G63" s="3">
        <v>1951</v>
      </c>
      <c r="H63" s="3">
        <v>6</v>
      </c>
      <c r="I63" s="3">
        <v>21</v>
      </c>
      <c r="J63" s="3">
        <v>17</v>
      </c>
      <c r="K63" s="3">
        <f t="shared" si="0"/>
        <v>11706</v>
      </c>
      <c r="L63" s="3">
        <f t="shared" si="1"/>
        <v>1608</v>
      </c>
      <c r="M63" s="7" t="str">
        <f t="shared" si="3"/>
        <v>Reorder</v>
      </c>
      <c r="N63" s="7" t="str">
        <f t="shared" si="4"/>
        <v>03/2024</v>
      </c>
      <c r="O63" s="1" t="str">
        <f t="shared" si="2"/>
        <v>Low Profit</v>
      </c>
    </row>
    <row r="64" spans="1:15" s="8" customFormat="1" ht="19.5" customHeight="1" x14ac:dyDescent="0.25">
      <c r="A64" s="3" t="s">
        <v>149</v>
      </c>
      <c r="B64" s="7" t="s">
        <v>150</v>
      </c>
      <c r="C64" s="3" t="s">
        <v>17</v>
      </c>
      <c r="D64" s="7" t="s">
        <v>18</v>
      </c>
      <c r="E64" s="7" t="s">
        <v>19</v>
      </c>
      <c r="F64" s="3">
        <v>929</v>
      </c>
      <c r="G64" s="3">
        <v>1028</v>
      </c>
      <c r="H64" s="3">
        <v>9</v>
      </c>
      <c r="I64" s="3">
        <v>50</v>
      </c>
      <c r="J64" s="3">
        <v>27</v>
      </c>
      <c r="K64" s="3">
        <f t="shared" si="0"/>
        <v>9252</v>
      </c>
      <c r="L64" s="3">
        <f t="shared" si="1"/>
        <v>891</v>
      </c>
      <c r="M64" s="7" t="str">
        <f t="shared" si="3"/>
        <v>Reorder</v>
      </c>
      <c r="N64" s="7" t="str">
        <f t="shared" si="4"/>
        <v>01/2024</v>
      </c>
      <c r="O64" s="1" t="str">
        <f t="shared" si="2"/>
        <v>Low Profit</v>
      </c>
    </row>
    <row r="65" spans="1:15" s="8" customFormat="1" ht="19.5" customHeight="1" x14ac:dyDescent="0.25">
      <c r="A65" s="3" t="s">
        <v>151</v>
      </c>
      <c r="B65" s="7" t="s">
        <v>140</v>
      </c>
      <c r="C65" s="3" t="s">
        <v>17</v>
      </c>
      <c r="D65" s="7" t="s">
        <v>18</v>
      </c>
      <c r="E65" s="7" t="s">
        <v>19</v>
      </c>
      <c r="F65" s="3">
        <v>1540</v>
      </c>
      <c r="G65" s="3">
        <v>1618</v>
      </c>
      <c r="H65" s="3">
        <v>8</v>
      </c>
      <c r="I65" s="3">
        <v>92</v>
      </c>
      <c r="J65" s="3">
        <v>28</v>
      </c>
      <c r="K65" s="3">
        <f t="shared" si="0"/>
        <v>12944</v>
      </c>
      <c r="L65" s="3">
        <f t="shared" si="1"/>
        <v>624</v>
      </c>
      <c r="M65" s="7" t="str">
        <f t="shared" si="3"/>
        <v>Reorder</v>
      </c>
      <c r="N65" s="7" t="str">
        <f t="shared" si="4"/>
        <v>02/2024</v>
      </c>
      <c r="O65" s="1" t="str">
        <f t="shared" si="2"/>
        <v>Low Profit</v>
      </c>
    </row>
    <row r="66" spans="1:15" s="8" customFormat="1" ht="19.5" customHeight="1" x14ac:dyDescent="0.25">
      <c r="A66" s="3" t="s">
        <v>152</v>
      </c>
      <c r="B66" s="7" t="s">
        <v>109</v>
      </c>
      <c r="C66" s="3" t="s">
        <v>31</v>
      </c>
      <c r="D66" s="7" t="s">
        <v>32</v>
      </c>
      <c r="E66" s="7" t="s">
        <v>14</v>
      </c>
      <c r="F66" s="3">
        <v>611</v>
      </c>
      <c r="G66" s="3">
        <v>712</v>
      </c>
      <c r="H66" s="3">
        <v>7</v>
      </c>
      <c r="I66" s="3">
        <v>7</v>
      </c>
      <c r="J66" s="3">
        <v>18</v>
      </c>
      <c r="K66" s="3">
        <f t="shared" si="0"/>
        <v>4984</v>
      </c>
      <c r="L66" s="3">
        <f t="shared" si="1"/>
        <v>707</v>
      </c>
      <c r="M66" s="7" t="str">
        <f t="shared" si="3"/>
        <v>Ok</v>
      </c>
      <c r="N66" s="7" t="str">
        <f t="shared" si="4"/>
        <v>06/2024</v>
      </c>
      <c r="O66" s="1" t="str">
        <f t="shared" si="2"/>
        <v>Low Profit</v>
      </c>
    </row>
    <row r="67" spans="1:15" s="8" customFormat="1" ht="19.5" customHeight="1" x14ac:dyDescent="0.25">
      <c r="A67" s="3" t="s">
        <v>153</v>
      </c>
      <c r="B67" s="7" t="s">
        <v>154</v>
      </c>
      <c r="C67" s="3" t="s">
        <v>45</v>
      </c>
      <c r="D67" s="7" t="s">
        <v>46</v>
      </c>
      <c r="E67" s="7" t="s">
        <v>19</v>
      </c>
      <c r="F67" s="3">
        <v>1322</v>
      </c>
      <c r="G67" s="3">
        <v>1535</v>
      </c>
      <c r="H67" s="3">
        <v>8</v>
      </c>
      <c r="I67" s="3">
        <v>95</v>
      </c>
      <c r="J67" s="3">
        <v>24</v>
      </c>
      <c r="K67" s="3">
        <f t="shared" ref="K67:K121" si="5">G67*H67</f>
        <v>12280</v>
      </c>
      <c r="L67" s="3">
        <f t="shared" ref="L67:L121" si="6">(G67-F67)*H67</f>
        <v>1704</v>
      </c>
      <c r="M67" s="7" t="str">
        <f t="shared" si="3"/>
        <v>Reorder</v>
      </c>
      <c r="N67" s="7" t="str">
        <f t="shared" si="4"/>
        <v>02/2024</v>
      </c>
      <c r="O67" s="1" t="str">
        <f t="shared" ref="O67:O121" si="7">IF(L67&gt;=2000,"High Profit ","Low Profit")</f>
        <v>Low Profit</v>
      </c>
    </row>
    <row r="68" spans="1:15" s="8" customFormat="1" ht="19.5" customHeight="1" x14ac:dyDescent="0.25">
      <c r="A68" s="3" t="s">
        <v>155</v>
      </c>
      <c r="B68" s="7" t="s">
        <v>143</v>
      </c>
      <c r="C68" s="3" t="s">
        <v>24</v>
      </c>
      <c r="D68" s="7" t="s">
        <v>25</v>
      </c>
      <c r="E68" s="7" t="s">
        <v>26</v>
      </c>
      <c r="F68" s="3">
        <v>1870</v>
      </c>
      <c r="G68" s="3">
        <v>2061</v>
      </c>
      <c r="H68" s="3">
        <v>1</v>
      </c>
      <c r="I68" s="3">
        <v>46</v>
      </c>
      <c r="J68" s="3">
        <v>28</v>
      </c>
      <c r="K68" s="3">
        <f t="shared" si="5"/>
        <v>2061</v>
      </c>
      <c r="L68" s="3">
        <f t="shared" si="6"/>
        <v>191</v>
      </c>
      <c r="M68" s="7" t="str">
        <f t="shared" ref="M68:M121" si="8">IF(I68&gt;=J68,"Reorder","Ok")</f>
        <v>Reorder</v>
      </c>
      <c r="N68" s="7" t="str">
        <f t="shared" ref="N68:N121" si="9">TEXT(B68,"mm/yyyy")</f>
        <v>05/2024</v>
      </c>
      <c r="O68" s="1" t="str">
        <f t="shared" si="7"/>
        <v>Low Profit</v>
      </c>
    </row>
    <row r="69" spans="1:15" s="8" customFormat="1" ht="19.5" customHeight="1" x14ac:dyDescent="0.25">
      <c r="A69" s="3" t="s">
        <v>156</v>
      </c>
      <c r="B69" s="7" t="s">
        <v>157</v>
      </c>
      <c r="C69" s="3" t="s">
        <v>17</v>
      </c>
      <c r="D69" s="7" t="s">
        <v>18</v>
      </c>
      <c r="E69" s="7" t="s">
        <v>19</v>
      </c>
      <c r="F69" s="3">
        <v>1323</v>
      </c>
      <c r="G69" s="3">
        <v>1483</v>
      </c>
      <c r="H69" s="3">
        <v>7</v>
      </c>
      <c r="I69" s="3">
        <v>18</v>
      </c>
      <c r="J69" s="3">
        <v>24</v>
      </c>
      <c r="K69" s="3">
        <f t="shared" si="5"/>
        <v>10381</v>
      </c>
      <c r="L69" s="3">
        <f t="shared" si="6"/>
        <v>1120</v>
      </c>
      <c r="M69" s="7" t="str">
        <f t="shared" si="8"/>
        <v>Ok</v>
      </c>
      <c r="N69" s="7" t="str">
        <f t="shared" si="9"/>
        <v>06/2024</v>
      </c>
      <c r="O69" s="1" t="str">
        <f t="shared" si="7"/>
        <v>Low Profit</v>
      </c>
    </row>
    <row r="70" spans="1:15" s="8" customFormat="1" ht="19.5" customHeight="1" x14ac:dyDescent="0.25">
      <c r="A70" s="3" t="s">
        <v>158</v>
      </c>
      <c r="B70" s="7" t="s">
        <v>147</v>
      </c>
      <c r="C70" s="3" t="s">
        <v>41</v>
      </c>
      <c r="D70" s="7" t="s">
        <v>42</v>
      </c>
      <c r="E70" s="7" t="s">
        <v>14</v>
      </c>
      <c r="F70" s="3">
        <v>1965</v>
      </c>
      <c r="G70" s="3">
        <v>2209</v>
      </c>
      <c r="H70" s="3">
        <v>2</v>
      </c>
      <c r="I70" s="3">
        <v>40</v>
      </c>
      <c r="J70" s="3">
        <v>25</v>
      </c>
      <c r="K70" s="3">
        <f t="shared" si="5"/>
        <v>4418</v>
      </c>
      <c r="L70" s="3">
        <f t="shared" si="6"/>
        <v>488</v>
      </c>
      <c r="M70" s="7" t="str">
        <f t="shared" si="8"/>
        <v>Reorder</v>
      </c>
      <c r="N70" s="7" t="str">
        <f t="shared" si="9"/>
        <v>06/2024</v>
      </c>
      <c r="O70" s="1" t="str">
        <f t="shared" si="7"/>
        <v>Low Profit</v>
      </c>
    </row>
    <row r="71" spans="1:15" s="8" customFormat="1" ht="19.5" customHeight="1" x14ac:dyDescent="0.25">
      <c r="A71" s="3" t="s">
        <v>159</v>
      </c>
      <c r="B71" s="7" t="s">
        <v>62</v>
      </c>
      <c r="C71" s="3" t="s">
        <v>45</v>
      </c>
      <c r="D71" s="7" t="s">
        <v>46</v>
      </c>
      <c r="E71" s="7" t="s">
        <v>19</v>
      </c>
      <c r="F71" s="3">
        <v>1826</v>
      </c>
      <c r="G71" s="3">
        <v>2032</v>
      </c>
      <c r="H71" s="3">
        <v>3</v>
      </c>
      <c r="I71" s="3">
        <v>84</v>
      </c>
      <c r="J71" s="3">
        <v>14</v>
      </c>
      <c r="K71" s="3">
        <f t="shared" si="5"/>
        <v>6096</v>
      </c>
      <c r="L71" s="3">
        <f t="shared" si="6"/>
        <v>618</v>
      </c>
      <c r="M71" s="7" t="str">
        <f t="shared" si="8"/>
        <v>Reorder</v>
      </c>
      <c r="N71" s="7" t="str">
        <f t="shared" si="9"/>
        <v>02/2024</v>
      </c>
      <c r="O71" s="1" t="str">
        <f t="shared" si="7"/>
        <v>Low Profit</v>
      </c>
    </row>
    <row r="72" spans="1:15" s="8" customFormat="1" ht="19.5" customHeight="1" x14ac:dyDescent="0.25">
      <c r="A72" s="3" t="s">
        <v>160</v>
      </c>
      <c r="B72" s="7" t="s">
        <v>126</v>
      </c>
      <c r="C72" s="3" t="s">
        <v>24</v>
      </c>
      <c r="D72" s="7" t="s">
        <v>25</v>
      </c>
      <c r="E72" s="7" t="s">
        <v>26</v>
      </c>
      <c r="F72" s="3">
        <v>527</v>
      </c>
      <c r="G72" s="3">
        <v>677</v>
      </c>
      <c r="H72" s="3">
        <v>6</v>
      </c>
      <c r="I72" s="3">
        <v>46</v>
      </c>
      <c r="J72" s="3">
        <v>20</v>
      </c>
      <c r="K72" s="3">
        <f t="shared" si="5"/>
        <v>4062</v>
      </c>
      <c r="L72" s="3">
        <f t="shared" si="6"/>
        <v>900</v>
      </c>
      <c r="M72" s="7" t="str">
        <f t="shared" si="8"/>
        <v>Reorder</v>
      </c>
      <c r="N72" s="7" t="str">
        <f t="shared" si="9"/>
        <v>01/2024</v>
      </c>
      <c r="O72" s="1" t="str">
        <f t="shared" si="7"/>
        <v>Low Profit</v>
      </c>
    </row>
    <row r="73" spans="1:15" s="8" customFormat="1" ht="19.5" customHeight="1" x14ac:dyDescent="0.25">
      <c r="A73" s="3" t="s">
        <v>161</v>
      </c>
      <c r="B73" s="7" t="s">
        <v>162</v>
      </c>
      <c r="C73" s="3" t="s">
        <v>31</v>
      </c>
      <c r="D73" s="7" t="s">
        <v>32</v>
      </c>
      <c r="E73" s="7" t="s">
        <v>14</v>
      </c>
      <c r="F73" s="3">
        <v>411</v>
      </c>
      <c r="G73" s="3">
        <v>866</v>
      </c>
      <c r="H73" s="3">
        <v>8</v>
      </c>
      <c r="I73" s="3">
        <v>93</v>
      </c>
      <c r="J73" s="3">
        <v>26</v>
      </c>
      <c r="K73" s="3">
        <f t="shared" si="5"/>
        <v>6928</v>
      </c>
      <c r="L73" s="3">
        <f t="shared" si="6"/>
        <v>3640</v>
      </c>
      <c r="M73" s="7" t="str">
        <f t="shared" si="8"/>
        <v>Reorder</v>
      </c>
      <c r="N73" s="7" t="str">
        <f t="shared" si="9"/>
        <v>02/2024</v>
      </c>
      <c r="O73" s="1" t="str">
        <f t="shared" si="7"/>
        <v xml:space="preserve">High Profit </v>
      </c>
    </row>
    <row r="74" spans="1:15" s="8" customFormat="1" ht="19.5" customHeight="1" x14ac:dyDescent="0.25">
      <c r="A74" s="3" t="s">
        <v>163</v>
      </c>
      <c r="B74" s="7" t="s">
        <v>164</v>
      </c>
      <c r="C74" s="3" t="s">
        <v>74</v>
      </c>
      <c r="D74" s="7" t="s">
        <v>75</v>
      </c>
      <c r="E74" s="7" t="s">
        <v>26</v>
      </c>
      <c r="F74" s="3">
        <v>1358</v>
      </c>
      <c r="G74" s="3">
        <v>1608</v>
      </c>
      <c r="H74" s="3">
        <v>5</v>
      </c>
      <c r="I74" s="3">
        <v>16</v>
      </c>
      <c r="J74" s="3">
        <v>25</v>
      </c>
      <c r="K74" s="3">
        <f t="shared" si="5"/>
        <v>8040</v>
      </c>
      <c r="L74" s="3">
        <f t="shared" si="6"/>
        <v>1250</v>
      </c>
      <c r="M74" s="7" t="str">
        <f t="shared" si="8"/>
        <v>Ok</v>
      </c>
      <c r="N74" s="7" t="str">
        <f t="shared" si="9"/>
        <v>02/2024</v>
      </c>
      <c r="O74" s="1" t="str">
        <f t="shared" si="7"/>
        <v>Low Profit</v>
      </c>
    </row>
    <row r="75" spans="1:15" s="8" customFormat="1" ht="19.5" customHeight="1" x14ac:dyDescent="0.25">
      <c r="A75" s="3" t="s">
        <v>165</v>
      </c>
      <c r="B75" s="7" t="s">
        <v>166</v>
      </c>
      <c r="C75" s="3" t="s">
        <v>45</v>
      </c>
      <c r="D75" s="7" t="s">
        <v>46</v>
      </c>
      <c r="E75" s="7" t="s">
        <v>19</v>
      </c>
      <c r="F75" s="3">
        <v>1592</v>
      </c>
      <c r="G75" s="3">
        <v>1991</v>
      </c>
      <c r="H75" s="3">
        <v>3</v>
      </c>
      <c r="I75" s="3">
        <v>74</v>
      </c>
      <c r="J75" s="3">
        <v>25</v>
      </c>
      <c r="K75" s="3">
        <f t="shared" si="5"/>
        <v>5973</v>
      </c>
      <c r="L75" s="3">
        <f t="shared" si="6"/>
        <v>1197</v>
      </c>
      <c r="M75" s="7" t="str">
        <f t="shared" si="8"/>
        <v>Reorder</v>
      </c>
      <c r="N75" s="7" t="str">
        <f t="shared" si="9"/>
        <v>02/2024</v>
      </c>
      <c r="O75" s="1" t="str">
        <f t="shared" si="7"/>
        <v>Low Profit</v>
      </c>
    </row>
    <row r="76" spans="1:15" s="8" customFormat="1" ht="19.5" customHeight="1" x14ac:dyDescent="0.25">
      <c r="A76" s="3" t="s">
        <v>167</v>
      </c>
      <c r="B76" s="7" t="s">
        <v>168</v>
      </c>
      <c r="C76" s="3" t="s">
        <v>51</v>
      </c>
      <c r="D76" s="7" t="s">
        <v>52</v>
      </c>
      <c r="E76" s="7" t="s">
        <v>19</v>
      </c>
      <c r="F76" s="3">
        <v>1504</v>
      </c>
      <c r="G76" s="3">
        <v>1569</v>
      </c>
      <c r="H76" s="3">
        <v>10</v>
      </c>
      <c r="I76" s="3">
        <v>40</v>
      </c>
      <c r="J76" s="3">
        <v>26</v>
      </c>
      <c r="K76" s="3">
        <f t="shared" si="5"/>
        <v>15690</v>
      </c>
      <c r="L76" s="3">
        <f t="shared" si="6"/>
        <v>650</v>
      </c>
      <c r="M76" s="7" t="str">
        <f t="shared" si="8"/>
        <v>Reorder</v>
      </c>
      <c r="N76" s="7" t="str">
        <f t="shared" si="9"/>
        <v>06/2024</v>
      </c>
      <c r="O76" s="1" t="str">
        <f t="shared" si="7"/>
        <v>Low Profit</v>
      </c>
    </row>
    <row r="77" spans="1:15" s="8" customFormat="1" ht="19.5" customHeight="1" x14ac:dyDescent="0.25">
      <c r="A77" s="3" t="s">
        <v>169</v>
      </c>
      <c r="B77" s="7" t="s">
        <v>170</v>
      </c>
      <c r="C77" s="3" t="s">
        <v>31</v>
      </c>
      <c r="D77" s="7" t="s">
        <v>32</v>
      </c>
      <c r="E77" s="7" t="s">
        <v>14</v>
      </c>
      <c r="F77" s="3">
        <v>1424</v>
      </c>
      <c r="G77" s="3">
        <v>1910</v>
      </c>
      <c r="H77" s="3">
        <v>1</v>
      </c>
      <c r="I77" s="3">
        <v>24</v>
      </c>
      <c r="J77" s="3">
        <v>28</v>
      </c>
      <c r="K77" s="3">
        <f t="shared" si="5"/>
        <v>1910</v>
      </c>
      <c r="L77" s="3">
        <f t="shared" si="6"/>
        <v>486</v>
      </c>
      <c r="M77" s="7" t="str">
        <f t="shared" si="8"/>
        <v>Ok</v>
      </c>
      <c r="N77" s="7" t="str">
        <f t="shared" si="9"/>
        <v>02/2024</v>
      </c>
      <c r="O77" s="1" t="str">
        <f t="shared" si="7"/>
        <v>Low Profit</v>
      </c>
    </row>
    <row r="78" spans="1:15" s="8" customFormat="1" ht="19.5" customHeight="1" x14ac:dyDescent="0.25">
      <c r="A78" s="3" t="s">
        <v>171</v>
      </c>
      <c r="B78" s="7" t="s">
        <v>172</v>
      </c>
      <c r="C78" s="3" t="s">
        <v>35</v>
      </c>
      <c r="D78" s="7" t="s">
        <v>36</v>
      </c>
      <c r="E78" s="7" t="s">
        <v>26</v>
      </c>
      <c r="F78" s="3">
        <v>1512</v>
      </c>
      <c r="G78" s="3">
        <v>1777</v>
      </c>
      <c r="H78" s="3">
        <v>7</v>
      </c>
      <c r="I78" s="3">
        <v>12</v>
      </c>
      <c r="J78" s="3">
        <v>16</v>
      </c>
      <c r="K78" s="3">
        <f t="shared" si="5"/>
        <v>12439</v>
      </c>
      <c r="L78" s="3">
        <f t="shared" si="6"/>
        <v>1855</v>
      </c>
      <c r="M78" s="7" t="str">
        <f t="shared" si="8"/>
        <v>Ok</v>
      </c>
      <c r="N78" s="7" t="str">
        <f t="shared" si="9"/>
        <v>02/2024</v>
      </c>
      <c r="O78" s="1" t="str">
        <f t="shared" si="7"/>
        <v>Low Profit</v>
      </c>
    </row>
    <row r="79" spans="1:15" s="8" customFormat="1" ht="19.5" customHeight="1" x14ac:dyDescent="0.25">
      <c r="A79" s="3" t="s">
        <v>173</v>
      </c>
      <c r="B79" s="7" t="s">
        <v>174</v>
      </c>
      <c r="C79" s="3" t="s">
        <v>31</v>
      </c>
      <c r="D79" s="7" t="s">
        <v>32</v>
      </c>
      <c r="E79" s="7" t="s">
        <v>14</v>
      </c>
      <c r="F79" s="3">
        <v>355</v>
      </c>
      <c r="G79" s="3">
        <v>734</v>
      </c>
      <c r="H79" s="3">
        <v>6</v>
      </c>
      <c r="I79" s="3">
        <v>16</v>
      </c>
      <c r="J79" s="3">
        <v>14</v>
      </c>
      <c r="K79" s="3">
        <f t="shared" si="5"/>
        <v>4404</v>
      </c>
      <c r="L79" s="3">
        <f t="shared" si="6"/>
        <v>2274</v>
      </c>
      <c r="M79" s="7" t="str">
        <f t="shared" si="8"/>
        <v>Reorder</v>
      </c>
      <c r="N79" s="7" t="str">
        <f t="shared" si="9"/>
        <v>01/2024</v>
      </c>
      <c r="O79" s="1" t="str">
        <f t="shared" si="7"/>
        <v xml:space="preserve">High Profit </v>
      </c>
    </row>
    <row r="80" spans="1:15" s="8" customFormat="1" ht="19.5" customHeight="1" x14ac:dyDescent="0.25">
      <c r="A80" s="3" t="s">
        <v>175</v>
      </c>
      <c r="B80" s="7" t="s">
        <v>176</v>
      </c>
      <c r="C80" s="3" t="s">
        <v>41</v>
      </c>
      <c r="D80" s="7" t="s">
        <v>42</v>
      </c>
      <c r="E80" s="7" t="s">
        <v>14</v>
      </c>
      <c r="F80" s="3">
        <v>583</v>
      </c>
      <c r="G80" s="3">
        <v>994</v>
      </c>
      <c r="H80" s="3">
        <v>6</v>
      </c>
      <c r="I80" s="3">
        <v>51</v>
      </c>
      <c r="J80" s="3">
        <v>24</v>
      </c>
      <c r="K80" s="3">
        <f t="shared" si="5"/>
        <v>5964</v>
      </c>
      <c r="L80" s="3">
        <f t="shared" si="6"/>
        <v>2466</v>
      </c>
      <c r="M80" s="7" t="str">
        <f t="shared" si="8"/>
        <v>Reorder</v>
      </c>
      <c r="N80" s="7" t="str">
        <f t="shared" si="9"/>
        <v>02/2024</v>
      </c>
      <c r="O80" s="1" t="str">
        <f t="shared" si="7"/>
        <v xml:space="preserve">High Profit </v>
      </c>
    </row>
    <row r="81" spans="1:15" s="8" customFormat="1" ht="19.5" customHeight="1" x14ac:dyDescent="0.25">
      <c r="A81" s="3" t="s">
        <v>177</v>
      </c>
      <c r="B81" s="7" t="s">
        <v>178</v>
      </c>
      <c r="C81" s="3" t="s">
        <v>51</v>
      </c>
      <c r="D81" s="7" t="s">
        <v>52</v>
      </c>
      <c r="E81" s="7" t="s">
        <v>19</v>
      </c>
      <c r="F81" s="3">
        <v>1476</v>
      </c>
      <c r="G81" s="3">
        <v>1954</v>
      </c>
      <c r="H81" s="3">
        <v>6</v>
      </c>
      <c r="I81" s="3">
        <v>66</v>
      </c>
      <c r="J81" s="3">
        <v>13</v>
      </c>
      <c r="K81" s="3">
        <f t="shared" si="5"/>
        <v>11724</v>
      </c>
      <c r="L81" s="3">
        <f t="shared" si="6"/>
        <v>2868</v>
      </c>
      <c r="M81" s="7" t="str">
        <f t="shared" si="8"/>
        <v>Reorder</v>
      </c>
      <c r="N81" s="7" t="str">
        <f t="shared" si="9"/>
        <v>02/2024</v>
      </c>
      <c r="O81" s="1" t="str">
        <f t="shared" si="7"/>
        <v xml:space="preserve">High Profit </v>
      </c>
    </row>
    <row r="82" spans="1:15" s="8" customFormat="1" ht="19.5" customHeight="1" x14ac:dyDescent="0.25">
      <c r="A82" s="3" t="s">
        <v>179</v>
      </c>
      <c r="B82" s="7" t="s">
        <v>180</v>
      </c>
      <c r="C82" s="3" t="s">
        <v>17</v>
      </c>
      <c r="D82" s="7" t="s">
        <v>18</v>
      </c>
      <c r="E82" s="7" t="s">
        <v>19</v>
      </c>
      <c r="F82" s="3">
        <v>1068</v>
      </c>
      <c r="G82" s="3">
        <v>1496</v>
      </c>
      <c r="H82" s="3">
        <v>7</v>
      </c>
      <c r="I82" s="3">
        <v>54</v>
      </c>
      <c r="J82" s="3">
        <v>13</v>
      </c>
      <c r="K82" s="3">
        <f t="shared" si="5"/>
        <v>10472</v>
      </c>
      <c r="L82" s="3">
        <f t="shared" si="6"/>
        <v>2996</v>
      </c>
      <c r="M82" s="7" t="str">
        <f t="shared" si="8"/>
        <v>Reorder</v>
      </c>
      <c r="N82" s="7" t="str">
        <f t="shared" si="9"/>
        <v>01/2024</v>
      </c>
      <c r="O82" s="1" t="str">
        <f t="shared" si="7"/>
        <v xml:space="preserve">High Profit </v>
      </c>
    </row>
    <row r="83" spans="1:15" s="8" customFormat="1" ht="19.5" customHeight="1" x14ac:dyDescent="0.25">
      <c r="A83" s="3" t="s">
        <v>181</v>
      </c>
      <c r="B83" s="7" t="s">
        <v>100</v>
      </c>
      <c r="C83" s="3" t="s">
        <v>51</v>
      </c>
      <c r="D83" s="7" t="s">
        <v>52</v>
      </c>
      <c r="E83" s="7" t="s">
        <v>19</v>
      </c>
      <c r="F83" s="3">
        <v>890</v>
      </c>
      <c r="G83" s="3">
        <v>1037</v>
      </c>
      <c r="H83" s="3">
        <v>4</v>
      </c>
      <c r="I83" s="3">
        <v>22</v>
      </c>
      <c r="J83" s="3">
        <v>20</v>
      </c>
      <c r="K83" s="3">
        <f t="shared" si="5"/>
        <v>4148</v>
      </c>
      <c r="L83" s="3">
        <f t="shared" si="6"/>
        <v>588</v>
      </c>
      <c r="M83" s="7" t="str">
        <f t="shared" si="8"/>
        <v>Reorder</v>
      </c>
      <c r="N83" s="7" t="str">
        <f t="shared" si="9"/>
        <v>03/2024</v>
      </c>
      <c r="O83" s="1" t="str">
        <f t="shared" si="7"/>
        <v>Low Profit</v>
      </c>
    </row>
    <row r="84" spans="1:15" s="8" customFormat="1" ht="19.5" customHeight="1" x14ac:dyDescent="0.25">
      <c r="A84" s="3" t="s">
        <v>182</v>
      </c>
      <c r="B84" s="7" t="s">
        <v>183</v>
      </c>
      <c r="C84" s="3" t="s">
        <v>24</v>
      </c>
      <c r="D84" s="7" t="s">
        <v>25</v>
      </c>
      <c r="E84" s="7" t="s">
        <v>26</v>
      </c>
      <c r="F84" s="3">
        <v>436</v>
      </c>
      <c r="G84" s="3">
        <v>517</v>
      </c>
      <c r="H84" s="3">
        <v>10</v>
      </c>
      <c r="I84" s="3">
        <v>71</v>
      </c>
      <c r="J84" s="3">
        <v>20</v>
      </c>
      <c r="K84" s="3">
        <f t="shared" si="5"/>
        <v>5170</v>
      </c>
      <c r="L84" s="3">
        <f t="shared" si="6"/>
        <v>810</v>
      </c>
      <c r="M84" s="7" t="str">
        <f t="shared" si="8"/>
        <v>Reorder</v>
      </c>
      <c r="N84" s="7" t="str">
        <f t="shared" si="9"/>
        <v>03/2024</v>
      </c>
      <c r="O84" s="1" t="str">
        <f t="shared" si="7"/>
        <v>Low Profit</v>
      </c>
    </row>
    <row r="85" spans="1:15" s="8" customFormat="1" ht="19.5" customHeight="1" x14ac:dyDescent="0.25">
      <c r="A85" s="3" t="s">
        <v>184</v>
      </c>
      <c r="B85" s="7" t="s">
        <v>50</v>
      </c>
      <c r="C85" s="3" t="s">
        <v>17</v>
      </c>
      <c r="D85" s="7" t="s">
        <v>18</v>
      </c>
      <c r="E85" s="7" t="s">
        <v>19</v>
      </c>
      <c r="F85" s="3">
        <v>894</v>
      </c>
      <c r="G85" s="3">
        <v>1027</v>
      </c>
      <c r="H85" s="3">
        <v>4</v>
      </c>
      <c r="I85" s="3">
        <v>23</v>
      </c>
      <c r="J85" s="3">
        <v>22</v>
      </c>
      <c r="K85" s="3">
        <f t="shared" si="5"/>
        <v>4108</v>
      </c>
      <c r="L85" s="3">
        <f t="shared" si="6"/>
        <v>532</v>
      </c>
      <c r="M85" s="7" t="str">
        <f t="shared" si="8"/>
        <v>Reorder</v>
      </c>
      <c r="N85" s="7" t="str">
        <f t="shared" si="9"/>
        <v>05/2024</v>
      </c>
      <c r="O85" s="1" t="str">
        <f t="shared" si="7"/>
        <v>Low Profit</v>
      </c>
    </row>
    <row r="86" spans="1:15" s="8" customFormat="1" ht="19.5" customHeight="1" x14ac:dyDescent="0.25">
      <c r="A86" s="3" t="s">
        <v>185</v>
      </c>
      <c r="B86" s="7" t="s">
        <v>124</v>
      </c>
      <c r="C86" s="3" t="s">
        <v>51</v>
      </c>
      <c r="D86" s="7" t="s">
        <v>52</v>
      </c>
      <c r="E86" s="7" t="s">
        <v>19</v>
      </c>
      <c r="F86" s="3">
        <v>1731</v>
      </c>
      <c r="G86" s="3">
        <v>2162</v>
      </c>
      <c r="H86" s="3">
        <v>2</v>
      </c>
      <c r="I86" s="3">
        <v>97</v>
      </c>
      <c r="J86" s="3">
        <v>13</v>
      </c>
      <c r="K86" s="3">
        <f t="shared" si="5"/>
        <v>4324</v>
      </c>
      <c r="L86" s="3">
        <f t="shared" si="6"/>
        <v>862</v>
      </c>
      <c r="M86" s="7" t="str">
        <f t="shared" si="8"/>
        <v>Reorder</v>
      </c>
      <c r="N86" s="7" t="str">
        <f t="shared" si="9"/>
        <v>04/2024</v>
      </c>
      <c r="O86" s="1" t="str">
        <f t="shared" si="7"/>
        <v>Low Profit</v>
      </c>
    </row>
    <row r="87" spans="1:15" s="8" customFormat="1" ht="19.5" customHeight="1" x14ac:dyDescent="0.25">
      <c r="A87" s="3" t="s">
        <v>186</v>
      </c>
      <c r="B87" s="7" t="s">
        <v>187</v>
      </c>
      <c r="C87" s="3" t="s">
        <v>41</v>
      </c>
      <c r="D87" s="7" t="s">
        <v>42</v>
      </c>
      <c r="E87" s="7" t="s">
        <v>14</v>
      </c>
      <c r="F87" s="3">
        <v>1996</v>
      </c>
      <c r="G87" s="3">
        <v>2217</v>
      </c>
      <c r="H87" s="3">
        <v>9</v>
      </c>
      <c r="I87" s="3">
        <v>13</v>
      </c>
      <c r="J87" s="3">
        <v>28</v>
      </c>
      <c r="K87" s="3">
        <f t="shared" si="5"/>
        <v>19953</v>
      </c>
      <c r="L87" s="3">
        <f t="shared" si="6"/>
        <v>1989</v>
      </c>
      <c r="M87" s="7" t="str">
        <f t="shared" si="8"/>
        <v>Ok</v>
      </c>
      <c r="N87" s="7" t="str">
        <f t="shared" si="9"/>
        <v>05/2024</v>
      </c>
      <c r="O87" s="1" t="str">
        <f t="shared" si="7"/>
        <v>Low Profit</v>
      </c>
    </row>
    <row r="88" spans="1:15" s="8" customFormat="1" ht="19.5" customHeight="1" x14ac:dyDescent="0.25">
      <c r="A88" s="3" t="s">
        <v>188</v>
      </c>
      <c r="B88" s="7" t="s">
        <v>189</v>
      </c>
      <c r="C88" s="3" t="s">
        <v>12</v>
      </c>
      <c r="D88" s="7" t="s">
        <v>13</v>
      </c>
      <c r="E88" s="7" t="s">
        <v>14</v>
      </c>
      <c r="F88" s="3">
        <v>856</v>
      </c>
      <c r="G88" s="3">
        <v>1012</v>
      </c>
      <c r="H88" s="3">
        <v>5</v>
      </c>
      <c r="I88" s="3">
        <v>100</v>
      </c>
      <c r="J88" s="3">
        <v>29</v>
      </c>
      <c r="K88" s="3">
        <f t="shared" si="5"/>
        <v>5060</v>
      </c>
      <c r="L88" s="3">
        <f t="shared" si="6"/>
        <v>780</v>
      </c>
      <c r="M88" s="7" t="str">
        <f t="shared" si="8"/>
        <v>Reorder</v>
      </c>
      <c r="N88" s="7" t="str">
        <f t="shared" si="9"/>
        <v>03/2024</v>
      </c>
      <c r="O88" s="1" t="str">
        <f t="shared" si="7"/>
        <v>Low Profit</v>
      </c>
    </row>
    <row r="89" spans="1:15" s="8" customFormat="1" ht="19.5" customHeight="1" x14ac:dyDescent="0.25">
      <c r="A89" s="3" t="s">
        <v>190</v>
      </c>
      <c r="B89" s="7" t="s">
        <v>172</v>
      </c>
      <c r="C89" s="3" t="s">
        <v>51</v>
      </c>
      <c r="D89" s="7" t="s">
        <v>52</v>
      </c>
      <c r="E89" s="7" t="s">
        <v>19</v>
      </c>
      <c r="F89" s="3">
        <v>1605</v>
      </c>
      <c r="G89" s="3">
        <v>1723</v>
      </c>
      <c r="H89" s="3">
        <v>7</v>
      </c>
      <c r="I89" s="3">
        <v>84</v>
      </c>
      <c r="J89" s="3">
        <v>13</v>
      </c>
      <c r="K89" s="3">
        <f t="shared" si="5"/>
        <v>12061</v>
      </c>
      <c r="L89" s="3">
        <f t="shared" si="6"/>
        <v>826</v>
      </c>
      <c r="M89" s="7" t="str">
        <f t="shared" si="8"/>
        <v>Reorder</v>
      </c>
      <c r="N89" s="7" t="str">
        <f t="shared" si="9"/>
        <v>02/2024</v>
      </c>
      <c r="O89" s="1" t="str">
        <f t="shared" si="7"/>
        <v>Low Profit</v>
      </c>
    </row>
    <row r="90" spans="1:15" s="8" customFormat="1" ht="19.5" customHeight="1" x14ac:dyDescent="0.25">
      <c r="A90" s="3" t="s">
        <v>191</v>
      </c>
      <c r="B90" s="7" t="s">
        <v>192</v>
      </c>
      <c r="C90" s="3" t="s">
        <v>12</v>
      </c>
      <c r="D90" s="7" t="s">
        <v>13</v>
      </c>
      <c r="E90" s="7" t="s">
        <v>14</v>
      </c>
      <c r="F90" s="3">
        <v>1639</v>
      </c>
      <c r="G90" s="3">
        <v>1748</v>
      </c>
      <c r="H90" s="3">
        <v>3</v>
      </c>
      <c r="I90" s="3">
        <v>96</v>
      </c>
      <c r="J90" s="3">
        <v>30</v>
      </c>
      <c r="K90" s="3">
        <f t="shared" si="5"/>
        <v>5244</v>
      </c>
      <c r="L90" s="3">
        <f t="shared" si="6"/>
        <v>327</v>
      </c>
      <c r="M90" s="7" t="str">
        <f t="shared" si="8"/>
        <v>Reorder</v>
      </c>
      <c r="N90" s="7" t="str">
        <f t="shared" si="9"/>
        <v>03/2024</v>
      </c>
      <c r="O90" s="1" t="str">
        <f t="shared" si="7"/>
        <v>Low Profit</v>
      </c>
    </row>
    <row r="91" spans="1:15" s="8" customFormat="1" ht="19.5" customHeight="1" x14ac:dyDescent="0.25">
      <c r="A91" s="3" t="s">
        <v>193</v>
      </c>
      <c r="B91" s="7" t="s">
        <v>194</v>
      </c>
      <c r="C91" s="3" t="s">
        <v>35</v>
      </c>
      <c r="D91" s="7" t="s">
        <v>36</v>
      </c>
      <c r="E91" s="7" t="s">
        <v>26</v>
      </c>
      <c r="F91" s="3">
        <v>216</v>
      </c>
      <c r="G91" s="3">
        <v>689</v>
      </c>
      <c r="H91" s="3">
        <v>4</v>
      </c>
      <c r="I91" s="3">
        <v>40</v>
      </c>
      <c r="J91" s="3">
        <v>14</v>
      </c>
      <c r="K91" s="3">
        <f t="shared" si="5"/>
        <v>2756</v>
      </c>
      <c r="L91" s="3">
        <f t="shared" si="6"/>
        <v>1892</v>
      </c>
      <c r="M91" s="7" t="str">
        <f t="shared" si="8"/>
        <v>Reorder</v>
      </c>
      <c r="N91" s="7" t="str">
        <f t="shared" si="9"/>
        <v>02/2024</v>
      </c>
      <c r="O91" s="1" t="str">
        <f t="shared" si="7"/>
        <v>Low Profit</v>
      </c>
    </row>
    <row r="92" spans="1:15" s="8" customFormat="1" ht="19.5" customHeight="1" x14ac:dyDescent="0.25">
      <c r="A92" s="3" t="s">
        <v>195</v>
      </c>
      <c r="B92" s="7" t="s">
        <v>196</v>
      </c>
      <c r="C92" s="3" t="s">
        <v>24</v>
      </c>
      <c r="D92" s="7" t="s">
        <v>25</v>
      </c>
      <c r="E92" s="7" t="s">
        <v>26</v>
      </c>
      <c r="F92" s="3">
        <v>613</v>
      </c>
      <c r="G92" s="3">
        <v>925</v>
      </c>
      <c r="H92" s="3">
        <v>10</v>
      </c>
      <c r="I92" s="3">
        <v>98</v>
      </c>
      <c r="J92" s="3">
        <v>10</v>
      </c>
      <c r="K92" s="3">
        <f t="shared" si="5"/>
        <v>9250</v>
      </c>
      <c r="L92" s="3">
        <f t="shared" si="6"/>
        <v>3120</v>
      </c>
      <c r="M92" s="7" t="str">
        <f t="shared" si="8"/>
        <v>Reorder</v>
      </c>
      <c r="N92" s="7" t="str">
        <f t="shared" si="9"/>
        <v>01/2024</v>
      </c>
      <c r="O92" s="1" t="str">
        <f t="shared" si="7"/>
        <v xml:space="preserve">High Profit </v>
      </c>
    </row>
    <row r="93" spans="1:15" s="8" customFormat="1" ht="19.5" customHeight="1" x14ac:dyDescent="0.25">
      <c r="A93" s="3" t="s">
        <v>197</v>
      </c>
      <c r="B93" s="7" t="s">
        <v>198</v>
      </c>
      <c r="C93" s="3" t="s">
        <v>31</v>
      </c>
      <c r="D93" s="7" t="s">
        <v>32</v>
      </c>
      <c r="E93" s="7" t="s">
        <v>14</v>
      </c>
      <c r="F93" s="3">
        <v>755</v>
      </c>
      <c r="G93" s="3">
        <v>836</v>
      </c>
      <c r="H93" s="3">
        <v>7</v>
      </c>
      <c r="I93" s="3">
        <v>46</v>
      </c>
      <c r="J93" s="3">
        <v>29</v>
      </c>
      <c r="K93" s="3">
        <f t="shared" si="5"/>
        <v>5852</v>
      </c>
      <c r="L93" s="3">
        <f t="shared" si="6"/>
        <v>567</v>
      </c>
      <c r="M93" s="7" t="str">
        <f t="shared" si="8"/>
        <v>Reorder</v>
      </c>
      <c r="N93" s="7" t="str">
        <f t="shared" si="9"/>
        <v>02/2024</v>
      </c>
      <c r="O93" s="1" t="str">
        <f t="shared" si="7"/>
        <v>Low Profit</v>
      </c>
    </row>
    <row r="94" spans="1:15" s="8" customFormat="1" ht="19.5" customHeight="1" x14ac:dyDescent="0.25">
      <c r="A94" s="3" t="s">
        <v>199</v>
      </c>
      <c r="B94" s="7" t="s">
        <v>38</v>
      </c>
      <c r="C94" s="3" t="s">
        <v>12</v>
      </c>
      <c r="D94" s="7" t="s">
        <v>13</v>
      </c>
      <c r="E94" s="7" t="s">
        <v>14</v>
      </c>
      <c r="F94" s="3">
        <v>1474</v>
      </c>
      <c r="G94" s="3">
        <v>1647</v>
      </c>
      <c r="H94" s="3">
        <v>10</v>
      </c>
      <c r="I94" s="3">
        <v>58</v>
      </c>
      <c r="J94" s="3">
        <v>17</v>
      </c>
      <c r="K94" s="3">
        <f t="shared" si="5"/>
        <v>16470</v>
      </c>
      <c r="L94" s="3">
        <f t="shared" si="6"/>
        <v>1730</v>
      </c>
      <c r="M94" s="7" t="str">
        <f t="shared" si="8"/>
        <v>Reorder</v>
      </c>
      <c r="N94" s="7" t="str">
        <f t="shared" si="9"/>
        <v>03/2024</v>
      </c>
      <c r="O94" s="1" t="str">
        <f t="shared" si="7"/>
        <v>Low Profit</v>
      </c>
    </row>
    <row r="95" spans="1:15" s="8" customFormat="1" ht="19.5" customHeight="1" x14ac:dyDescent="0.25">
      <c r="A95" s="3" t="s">
        <v>200</v>
      </c>
      <c r="B95" s="7" t="s">
        <v>201</v>
      </c>
      <c r="C95" s="3" t="s">
        <v>51</v>
      </c>
      <c r="D95" s="7" t="s">
        <v>52</v>
      </c>
      <c r="E95" s="7" t="s">
        <v>19</v>
      </c>
      <c r="F95" s="3">
        <v>615</v>
      </c>
      <c r="G95" s="3">
        <v>855</v>
      </c>
      <c r="H95" s="3">
        <v>4</v>
      </c>
      <c r="I95" s="3">
        <v>37</v>
      </c>
      <c r="J95" s="3">
        <v>16</v>
      </c>
      <c r="K95" s="3">
        <f t="shared" si="5"/>
        <v>3420</v>
      </c>
      <c r="L95" s="3">
        <f t="shared" si="6"/>
        <v>960</v>
      </c>
      <c r="M95" s="7" t="str">
        <f t="shared" si="8"/>
        <v>Reorder</v>
      </c>
      <c r="N95" s="7" t="str">
        <f t="shared" si="9"/>
        <v>03/2024</v>
      </c>
      <c r="O95" s="1" t="str">
        <f t="shared" si="7"/>
        <v>Low Profit</v>
      </c>
    </row>
    <row r="96" spans="1:15" s="8" customFormat="1" ht="19.5" customHeight="1" x14ac:dyDescent="0.25">
      <c r="A96" s="3" t="s">
        <v>202</v>
      </c>
      <c r="B96" s="7" t="s">
        <v>187</v>
      </c>
      <c r="C96" s="3" t="s">
        <v>74</v>
      </c>
      <c r="D96" s="7" t="s">
        <v>75</v>
      </c>
      <c r="E96" s="7" t="s">
        <v>26</v>
      </c>
      <c r="F96" s="3">
        <v>330</v>
      </c>
      <c r="G96" s="3">
        <v>542</v>
      </c>
      <c r="H96" s="3">
        <v>5</v>
      </c>
      <c r="I96" s="3">
        <v>72</v>
      </c>
      <c r="J96" s="3">
        <v>19</v>
      </c>
      <c r="K96" s="3">
        <f t="shared" si="5"/>
        <v>2710</v>
      </c>
      <c r="L96" s="3">
        <f t="shared" si="6"/>
        <v>1060</v>
      </c>
      <c r="M96" s="7" t="str">
        <f t="shared" si="8"/>
        <v>Reorder</v>
      </c>
      <c r="N96" s="7" t="str">
        <f t="shared" si="9"/>
        <v>05/2024</v>
      </c>
      <c r="O96" s="1" t="str">
        <f t="shared" si="7"/>
        <v>Low Profit</v>
      </c>
    </row>
    <row r="97" spans="1:15" s="8" customFormat="1" ht="19.5" customHeight="1" x14ac:dyDescent="0.25">
      <c r="A97" s="3" t="s">
        <v>203</v>
      </c>
      <c r="B97" s="7" t="s">
        <v>157</v>
      </c>
      <c r="C97" s="3" t="s">
        <v>17</v>
      </c>
      <c r="D97" s="7" t="s">
        <v>18</v>
      </c>
      <c r="E97" s="7" t="s">
        <v>19</v>
      </c>
      <c r="F97" s="3">
        <v>495</v>
      </c>
      <c r="G97" s="3">
        <v>780</v>
      </c>
      <c r="H97" s="3">
        <v>9</v>
      </c>
      <c r="I97" s="3">
        <v>83</v>
      </c>
      <c r="J97" s="3">
        <v>25</v>
      </c>
      <c r="K97" s="3">
        <f t="shared" si="5"/>
        <v>7020</v>
      </c>
      <c r="L97" s="3">
        <f t="shared" si="6"/>
        <v>2565</v>
      </c>
      <c r="M97" s="7" t="str">
        <f t="shared" si="8"/>
        <v>Reorder</v>
      </c>
      <c r="N97" s="7" t="str">
        <f t="shared" si="9"/>
        <v>06/2024</v>
      </c>
      <c r="O97" s="1" t="str">
        <f t="shared" si="7"/>
        <v xml:space="preserve">High Profit </v>
      </c>
    </row>
    <row r="98" spans="1:15" s="8" customFormat="1" ht="19.5" customHeight="1" x14ac:dyDescent="0.25">
      <c r="A98" s="3" t="s">
        <v>204</v>
      </c>
      <c r="B98" s="7" t="s">
        <v>205</v>
      </c>
      <c r="C98" s="3" t="s">
        <v>74</v>
      </c>
      <c r="D98" s="7" t="s">
        <v>75</v>
      </c>
      <c r="E98" s="7" t="s">
        <v>26</v>
      </c>
      <c r="F98" s="3">
        <v>995</v>
      </c>
      <c r="G98" s="3">
        <v>1432</v>
      </c>
      <c r="H98" s="3">
        <v>7</v>
      </c>
      <c r="I98" s="3">
        <v>64</v>
      </c>
      <c r="J98" s="3">
        <v>21</v>
      </c>
      <c r="K98" s="3">
        <f t="shared" si="5"/>
        <v>10024</v>
      </c>
      <c r="L98" s="3">
        <f t="shared" si="6"/>
        <v>3059</v>
      </c>
      <c r="M98" s="7" t="str">
        <f t="shared" si="8"/>
        <v>Reorder</v>
      </c>
      <c r="N98" s="7" t="str">
        <f t="shared" si="9"/>
        <v>03/2024</v>
      </c>
      <c r="O98" s="1" t="str">
        <f t="shared" si="7"/>
        <v xml:space="preserve">High Profit </v>
      </c>
    </row>
    <row r="99" spans="1:15" s="8" customFormat="1" ht="19.5" customHeight="1" x14ac:dyDescent="0.25">
      <c r="A99" s="3" t="s">
        <v>206</v>
      </c>
      <c r="B99" s="7" t="s">
        <v>207</v>
      </c>
      <c r="C99" s="3" t="s">
        <v>12</v>
      </c>
      <c r="D99" s="7" t="s">
        <v>13</v>
      </c>
      <c r="E99" s="7" t="s">
        <v>14</v>
      </c>
      <c r="F99" s="3">
        <v>1161</v>
      </c>
      <c r="G99" s="3">
        <v>1287</v>
      </c>
      <c r="H99" s="3">
        <v>4</v>
      </c>
      <c r="I99" s="3">
        <v>81</v>
      </c>
      <c r="J99" s="3">
        <v>12</v>
      </c>
      <c r="K99" s="3">
        <f t="shared" si="5"/>
        <v>5148</v>
      </c>
      <c r="L99" s="3">
        <f t="shared" si="6"/>
        <v>504</v>
      </c>
      <c r="M99" s="7" t="str">
        <f t="shared" si="8"/>
        <v>Reorder</v>
      </c>
      <c r="N99" s="7" t="str">
        <f t="shared" si="9"/>
        <v>05/2024</v>
      </c>
      <c r="O99" s="1" t="str">
        <f t="shared" si="7"/>
        <v>Low Profit</v>
      </c>
    </row>
    <row r="100" spans="1:15" s="8" customFormat="1" ht="19.5" customHeight="1" x14ac:dyDescent="0.25">
      <c r="A100" s="3" t="s">
        <v>208</v>
      </c>
      <c r="B100" s="7" t="s">
        <v>34</v>
      </c>
      <c r="C100" s="3" t="s">
        <v>31</v>
      </c>
      <c r="D100" s="7" t="s">
        <v>32</v>
      </c>
      <c r="E100" s="7" t="s">
        <v>14</v>
      </c>
      <c r="F100" s="3">
        <v>938</v>
      </c>
      <c r="G100" s="3">
        <v>1415</v>
      </c>
      <c r="H100" s="3">
        <v>10</v>
      </c>
      <c r="I100" s="3">
        <v>54</v>
      </c>
      <c r="J100" s="3">
        <v>17</v>
      </c>
      <c r="K100" s="3">
        <f t="shared" si="5"/>
        <v>14150</v>
      </c>
      <c r="L100" s="3">
        <f t="shared" si="6"/>
        <v>4770</v>
      </c>
      <c r="M100" s="7" t="str">
        <f t="shared" si="8"/>
        <v>Reorder</v>
      </c>
      <c r="N100" s="7" t="str">
        <f t="shared" si="9"/>
        <v>03/2024</v>
      </c>
      <c r="O100" s="1" t="str">
        <f t="shared" si="7"/>
        <v xml:space="preserve">High Profit </v>
      </c>
    </row>
    <row r="101" spans="1:15" s="8" customFormat="1" ht="19.5" customHeight="1" x14ac:dyDescent="0.25">
      <c r="A101" s="3" t="s">
        <v>209</v>
      </c>
      <c r="B101" s="7" t="s">
        <v>210</v>
      </c>
      <c r="C101" s="3" t="s">
        <v>35</v>
      </c>
      <c r="D101" s="7" t="s">
        <v>36</v>
      </c>
      <c r="E101" s="7" t="s">
        <v>26</v>
      </c>
      <c r="F101" s="3">
        <v>343</v>
      </c>
      <c r="G101" s="3">
        <v>767</v>
      </c>
      <c r="H101" s="3">
        <v>7</v>
      </c>
      <c r="I101" s="3">
        <v>1</v>
      </c>
      <c r="J101" s="3">
        <v>29</v>
      </c>
      <c r="K101" s="3">
        <f t="shared" si="5"/>
        <v>5369</v>
      </c>
      <c r="L101" s="3">
        <f t="shared" si="6"/>
        <v>2968</v>
      </c>
      <c r="M101" s="7" t="str">
        <f t="shared" si="8"/>
        <v>Ok</v>
      </c>
      <c r="N101" s="7" t="str">
        <f t="shared" si="9"/>
        <v>05/2024</v>
      </c>
      <c r="O101" s="1" t="str">
        <f t="shared" si="7"/>
        <v xml:space="preserve">High Profit </v>
      </c>
    </row>
    <row r="102" spans="1:15" s="8" customFormat="1" ht="19.5" customHeight="1" x14ac:dyDescent="0.25">
      <c r="A102" s="3" t="s">
        <v>211</v>
      </c>
      <c r="B102" s="7" t="s">
        <v>105</v>
      </c>
      <c r="C102" s="3" t="s">
        <v>31</v>
      </c>
      <c r="D102" s="7" t="s">
        <v>32</v>
      </c>
      <c r="E102" s="7" t="s">
        <v>14</v>
      </c>
      <c r="F102" s="3">
        <v>1481</v>
      </c>
      <c r="G102" s="3">
        <v>1718</v>
      </c>
      <c r="H102" s="3">
        <v>5</v>
      </c>
      <c r="I102" s="3">
        <v>25</v>
      </c>
      <c r="J102" s="3">
        <v>21</v>
      </c>
      <c r="K102" s="3">
        <f t="shared" si="5"/>
        <v>8590</v>
      </c>
      <c r="L102" s="3">
        <f t="shared" si="6"/>
        <v>1185</v>
      </c>
      <c r="M102" s="7" t="str">
        <f t="shared" si="8"/>
        <v>Reorder</v>
      </c>
      <c r="N102" s="7" t="str">
        <f t="shared" si="9"/>
        <v>06/2024</v>
      </c>
      <c r="O102" s="1" t="str">
        <f t="shared" si="7"/>
        <v>Low Profit</v>
      </c>
    </row>
    <row r="103" spans="1:15" s="8" customFormat="1" ht="19.5" customHeight="1" x14ac:dyDescent="0.25">
      <c r="A103" s="3" t="s">
        <v>212</v>
      </c>
      <c r="B103" s="7" t="s">
        <v>213</v>
      </c>
      <c r="C103" s="3" t="s">
        <v>45</v>
      </c>
      <c r="D103" s="7" t="s">
        <v>46</v>
      </c>
      <c r="E103" s="7" t="s">
        <v>19</v>
      </c>
      <c r="F103" s="3">
        <v>349</v>
      </c>
      <c r="G103" s="3">
        <v>416</v>
      </c>
      <c r="H103" s="3">
        <v>3</v>
      </c>
      <c r="I103" s="3">
        <v>10</v>
      </c>
      <c r="J103" s="3">
        <v>27</v>
      </c>
      <c r="K103" s="3">
        <f t="shared" si="5"/>
        <v>1248</v>
      </c>
      <c r="L103" s="3">
        <f t="shared" si="6"/>
        <v>201</v>
      </c>
      <c r="M103" s="7" t="str">
        <f t="shared" si="8"/>
        <v>Ok</v>
      </c>
      <c r="N103" s="7" t="str">
        <f t="shared" si="9"/>
        <v>02/2024</v>
      </c>
      <c r="O103" s="1" t="str">
        <f t="shared" si="7"/>
        <v>Low Profit</v>
      </c>
    </row>
    <row r="104" spans="1:15" s="8" customFormat="1" ht="19.5" customHeight="1" x14ac:dyDescent="0.25">
      <c r="A104" s="3" t="s">
        <v>214</v>
      </c>
      <c r="B104" s="7" t="s">
        <v>215</v>
      </c>
      <c r="C104" s="3" t="s">
        <v>51</v>
      </c>
      <c r="D104" s="7" t="s">
        <v>52</v>
      </c>
      <c r="E104" s="7" t="s">
        <v>19</v>
      </c>
      <c r="F104" s="3">
        <v>1506</v>
      </c>
      <c r="G104" s="3">
        <v>2006</v>
      </c>
      <c r="H104" s="3">
        <v>8</v>
      </c>
      <c r="I104" s="3">
        <v>25</v>
      </c>
      <c r="J104" s="3">
        <v>25</v>
      </c>
      <c r="K104" s="3">
        <f t="shared" si="5"/>
        <v>16048</v>
      </c>
      <c r="L104" s="3">
        <f t="shared" si="6"/>
        <v>4000</v>
      </c>
      <c r="M104" s="7" t="str">
        <f t="shared" si="8"/>
        <v>Reorder</v>
      </c>
      <c r="N104" s="7" t="str">
        <f t="shared" si="9"/>
        <v>02/2024</v>
      </c>
      <c r="O104" s="1" t="str">
        <f t="shared" si="7"/>
        <v xml:space="preserve">High Profit </v>
      </c>
    </row>
    <row r="105" spans="1:15" s="8" customFormat="1" ht="19.5" customHeight="1" x14ac:dyDescent="0.25">
      <c r="A105" s="3" t="s">
        <v>216</v>
      </c>
      <c r="B105" s="7" t="s">
        <v>217</v>
      </c>
      <c r="C105" s="3" t="s">
        <v>24</v>
      </c>
      <c r="D105" s="7" t="s">
        <v>25</v>
      </c>
      <c r="E105" s="7" t="s">
        <v>26</v>
      </c>
      <c r="F105" s="3">
        <v>1497</v>
      </c>
      <c r="G105" s="3">
        <v>1596</v>
      </c>
      <c r="H105" s="3">
        <v>2</v>
      </c>
      <c r="I105" s="3">
        <v>34</v>
      </c>
      <c r="J105" s="3">
        <v>29</v>
      </c>
      <c r="K105" s="3">
        <f t="shared" si="5"/>
        <v>3192</v>
      </c>
      <c r="L105" s="3">
        <f t="shared" si="6"/>
        <v>198</v>
      </c>
      <c r="M105" s="7" t="str">
        <f t="shared" si="8"/>
        <v>Reorder</v>
      </c>
      <c r="N105" s="7" t="str">
        <f t="shared" si="9"/>
        <v>06/2024</v>
      </c>
      <c r="O105" s="1" t="str">
        <f t="shared" si="7"/>
        <v>Low Profit</v>
      </c>
    </row>
    <row r="106" spans="1:15" s="8" customFormat="1" ht="19.5" customHeight="1" x14ac:dyDescent="0.25">
      <c r="A106" s="3" t="s">
        <v>218</v>
      </c>
      <c r="B106" s="7" t="s">
        <v>201</v>
      </c>
      <c r="C106" s="3" t="s">
        <v>24</v>
      </c>
      <c r="D106" s="7" t="s">
        <v>25</v>
      </c>
      <c r="E106" s="7" t="s">
        <v>26</v>
      </c>
      <c r="F106" s="3">
        <v>209</v>
      </c>
      <c r="G106" s="3">
        <v>435</v>
      </c>
      <c r="H106" s="3">
        <v>9</v>
      </c>
      <c r="I106" s="3">
        <v>64</v>
      </c>
      <c r="J106" s="3">
        <v>27</v>
      </c>
      <c r="K106" s="3">
        <f t="shared" si="5"/>
        <v>3915</v>
      </c>
      <c r="L106" s="3">
        <f t="shared" si="6"/>
        <v>2034</v>
      </c>
      <c r="M106" s="7" t="str">
        <f t="shared" si="8"/>
        <v>Reorder</v>
      </c>
      <c r="N106" s="7" t="str">
        <f t="shared" si="9"/>
        <v>03/2024</v>
      </c>
      <c r="O106" s="1" t="str">
        <f t="shared" si="7"/>
        <v xml:space="preserve">High Profit </v>
      </c>
    </row>
    <row r="107" spans="1:15" s="8" customFormat="1" ht="19.5" customHeight="1" x14ac:dyDescent="0.25">
      <c r="A107" s="3" t="s">
        <v>219</v>
      </c>
      <c r="B107" s="7" t="s">
        <v>94</v>
      </c>
      <c r="C107" s="3" t="s">
        <v>41</v>
      </c>
      <c r="D107" s="7" t="s">
        <v>42</v>
      </c>
      <c r="E107" s="7" t="s">
        <v>14</v>
      </c>
      <c r="F107" s="3">
        <v>1839</v>
      </c>
      <c r="G107" s="3">
        <v>2335</v>
      </c>
      <c r="H107" s="3">
        <v>5</v>
      </c>
      <c r="I107" s="3">
        <v>22</v>
      </c>
      <c r="J107" s="3">
        <v>14</v>
      </c>
      <c r="K107" s="3">
        <f t="shared" si="5"/>
        <v>11675</v>
      </c>
      <c r="L107" s="3">
        <f t="shared" si="6"/>
        <v>2480</v>
      </c>
      <c r="M107" s="7" t="str">
        <f t="shared" si="8"/>
        <v>Reorder</v>
      </c>
      <c r="N107" s="7" t="str">
        <f t="shared" si="9"/>
        <v>02/2024</v>
      </c>
      <c r="O107" s="1" t="str">
        <f t="shared" si="7"/>
        <v xml:space="preserve">High Profit </v>
      </c>
    </row>
    <row r="108" spans="1:15" s="8" customFormat="1" ht="19.5" customHeight="1" x14ac:dyDescent="0.25">
      <c r="A108" s="3" t="s">
        <v>220</v>
      </c>
      <c r="B108" s="7" t="s">
        <v>221</v>
      </c>
      <c r="C108" s="3" t="s">
        <v>41</v>
      </c>
      <c r="D108" s="7" t="s">
        <v>42</v>
      </c>
      <c r="E108" s="7" t="s">
        <v>14</v>
      </c>
      <c r="F108" s="3">
        <v>456</v>
      </c>
      <c r="G108" s="3">
        <v>696</v>
      </c>
      <c r="H108" s="3">
        <v>4</v>
      </c>
      <c r="I108" s="3">
        <v>52</v>
      </c>
      <c r="J108" s="3">
        <v>23</v>
      </c>
      <c r="K108" s="3">
        <f t="shared" si="5"/>
        <v>2784</v>
      </c>
      <c r="L108" s="3">
        <f t="shared" si="6"/>
        <v>960</v>
      </c>
      <c r="M108" s="7" t="str">
        <f t="shared" si="8"/>
        <v>Reorder</v>
      </c>
      <c r="N108" s="7" t="str">
        <f t="shared" si="9"/>
        <v>06/2024</v>
      </c>
      <c r="O108" s="1" t="str">
        <f t="shared" si="7"/>
        <v>Low Profit</v>
      </c>
    </row>
    <row r="109" spans="1:15" s="8" customFormat="1" ht="19.5" customHeight="1" x14ac:dyDescent="0.25">
      <c r="A109" s="3" t="s">
        <v>222</v>
      </c>
      <c r="B109" s="7" t="s">
        <v>223</v>
      </c>
      <c r="C109" s="3" t="s">
        <v>45</v>
      </c>
      <c r="D109" s="7" t="s">
        <v>46</v>
      </c>
      <c r="E109" s="7" t="s">
        <v>19</v>
      </c>
      <c r="F109" s="3">
        <v>285</v>
      </c>
      <c r="G109" s="3">
        <v>609</v>
      </c>
      <c r="H109" s="3">
        <v>3</v>
      </c>
      <c r="I109" s="3">
        <v>41</v>
      </c>
      <c r="J109" s="3">
        <v>30</v>
      </c>
      <c r="K109" s="3">
        <f t="shared" si="5"/>
        <v>1827</v>
      </c>
      <c r="L109" s="3">
        <f t="shared" si="6"/>
        <v>972</v>
      </c>
      <c r="M109" s="7" t="str">
        <f t="shared" si="8"/>
        <v>Reorder</v>
      </c>
      <c r="N109" s="7" t="str">
        <f t="shared" si="9"/>
        <v>05/2024</v>
      </c>
      <c r="O109" s="1" t="str">
        <f t="shared" si="7"/>
        <v>Low Profit</v>
      </c>
    </row>
    <row r="110" spans="1:15" s="8" customFormat="1" ht="19.5" customHeight="1" x14ac:dyDescent="0.25">
      <c r="A110" s="3" t="s">
        <v>224</v>
      </c>
      <c r="B110" s="7" t="s">
        <v>210</v>
      </c>
      <c r="C110" s="3" t="s">
        <v>74</v>
      </c>
      <c r="D110" s="7" t="s">
        <v>75</v>
      </c>
      <c r="E110" s="7" t="s">
        <v>26</v>
      </c>
      <c r="F110" s="3">
        <v>1632</v>
      </c>
      <c r="G110" s="3">
        <v>2061</v>
      </c>
      <c r="H110" s="3">
        <v>2</v>
      </c>
      <c r="I110" s="3">
        <v>11</v>
      </c>
      <c r="J110" s="3">
        <v>27</v>
      </c>
      <c r="K110" s="3">
        <f t="shared" si="5"/>
        <v>4122</v>
      </c>
      <c r="L110" s="3">
        <f t="shared" si="6"/>
        <v>858</v>
      </c>
      <c r="M110" s="7" t="str">
        <f t="shared" si="8"/>
        <v>Ok</v>
      </c>
      <c r="N110" s="7" t="str">
        <f t="shared" si="9"/>
        <v>05/2024</v>
      </c>
      <c r="O110" s="1" t="str">
        <f t="shared" si="7"/>
        <v>Low Profit</v>
      </c>
    </row>
    <row r="111" spans="1:15" s="8" customFormat="1" ht="19.5" customHeight="1" x14ac:dyDescent="0.25">
      <c r="A111" s="3" t="s">
        <v>225</v>
      </c>
      <c r="B111" s="7" t="s">
        <v>226</v>
      </c>
      <c r="C111" s="3" t="s">
        <v>35</v>
      </c>
      <c r="D111" s="7" t="s">
        <v>36</v>
      </c>
      <c r="E111" s="7" t="s">
        <v>26</v>
      </c>
      <c r="F111" s="3">
        <v>888</v>
      </c>
      <c r="G111" s="3">
        <v>1145</v>
      </c>
      <c r="H111" s="3">
        <v>5</v>
      </c>
      <c r="I111" s="3">
        <v>96</v>
      </c>
      <c r="J111" s="3">
        <v>23</v>
      </c>
      <c r="K111" s="3">
        <f t="shared" si="5"/>
        <v>5725</v>
      </c>
      <c r="L111" s="3">
        <f t="shared" si="6"/>
        <v>1285</v>
      </c>
      <c r="M111" s="7" t="str">
        <f t="shared" si="8"/>
        <v>Reorder</v>
      </c>
      <c r="N111" s="7" t="str">
        <f t="shared" si="9"/>
        <v>04/2024</v>
      </c>
      <c r="O111" s="1" t="str">
        <f t="shared" si="7"/>
        <v>Low Profit</v>
      </c>
    </row>
    <row r="112" spans="1:15" s="8" customFormat="1" ht="19.5" customHeight="1" x14ac:dyDescent="0.25">
      <c r="A112" s="3" t="s">
        <v>227</v>
      </c>
      <c r="B112" s="7" t="s">
        <v>228</v>
      </c>
      <c r="C112" s="3" t="s">
        <v>41</v>
      </c>
      <c r="D112" s="7" t="s">
        <v>42</v>
      </c>
      <c r="E112" s="7" t="s">
        <v>14</v>
      </c>
      <c r="F112" s="3">
        <v>563</v>
      </c>
      <c r="G112" s="3">
        <v>758</v>
      </c>
      <c r="H112" s="3">
        <v>3</v>
      </c>
      <c r="I112" s="3">
        <v>34</v>
      </c>
      <c r="J112" s="3">
        <v>27</v>
      </c>
      <c r="K112" s="3">
        <f t="shared" si="5"/>
        <v>2274</v>
      </c>
      <c r="L112" s="3">
        <f t="shared" si="6"/>
        <v>585</v>
      </c>
      <c r="M112" s="7" t="str">
        <f t="shared" si="8"/>
        <v>Reorder</v>
      </c>
      <c r="N112" s="7" t="str">
        <f t="shared" si="9"/>
        <v>05/2024</v>
      </c>
      <c r="O112" s="1" t="str">
        <f t="shared" si="7"/>
        <v>Low Profit</v>
      </c>
    </row>
    <row r="113" spans="1:15" s="8" customFormat="1" ht="19.5" customHeight="1" x14ac:dyDescent="0.25">
      <c r="A113" s="3" t="s">
        <v>229</v>
      </c>
      <c r="B113" s="7" t="s">
        <v>198</v>
      </c>
      <c r="C113" s="3" t="s">
        <v>74</v>
      </c>
      <c r="D113" s="7" t="s">
        <v>75</v>
      </c>
      <c r="E113" s="7" t="s">
        <v>26</v>
      </c>
      <c r="F113" s="3">
        <v>1318</v>
      </c>
      <c r="G113" s="3">
        <v>1645</v>
      </c>
      <c r="H113" s="3">
        <v>8</v>
      </c>
      <c r="I113" s="3">
        <v>7</v>
      </c>
      <c r="J113" s="3">
        <v>20</v>
      </c>
      <c r="K113" s="3">
        <f t="shared" si="5"/>
        <v>13160</v>
      </c>
      <c r="L113" s="3">
        <f t="shared" si="6"/>
        <v>2616</v>
      </c>
      <c r="M113" s="7" t="str">
        <f t="shared" si="8"/>
        <v>Ok</v>
      </c>
      <c r="N113" s="7" t="str">
        <f t="shared" si="9"/>
        <v>02/2024</v>
      </c>
      <c r="O113" s="1" t="str">
        <f t="shared" si="7"/>
        <v xml:space="preserve">High Profit </v>
      </c>
    </row>
    <row r="114" spans="1:15" s="8" customFormat="1" ht="19.5" customHeight="1" x14ac:dyDescent="0.25">
      <c r="A114" s="3" t="s">
        <v>230</v>
      </c>
      <c r="B114" s="7" t="s">
        <v>231</v>
      </c>
      <c r="C114" s="3" t="s">
        <v>31</v>
      </c>
      <c r="D114" s="7" t="s">
        <v>32</v>
      </c>
      <c r="E114" s="7" t="s">
        <v>14</v>
      </c>
      <c r="F114" s="3">
        <v>1854</v>
      </c>
      <c r="G114" s="3">
        <v>2245</v>
      </c>
      <c r="H114" s="3">
        <v>2</v>
      </c>
      <c r="I114" s="3">
        <v>13</v>
      </c>
      <c r="J114" s="3">
        <v>26</v>
      </c>
      <c r="K114" s="3">
        <f t="shared" si="5"/>
        <v>4490</v>
      </c>
      <c r="L114" s="3">
        <f t="shared" si="6"/>
        <v>782</v>
      </c>
      <c r="M114" s="7" t="str">
        <f t="shared" si="8"/>
        <v>Ok</v>
      </c>
      <c r="N114" s="7" t="str">
        <f t="shared" si="9"/>
        <v>01/2024</v>
      </c>
      <c r="O114" s="1" t="str">
        <f t="shared" si="7"/>
        <v>Low Profit</v>
      </c>
    </row>
    <row r="115" spans="1:15" s="8" customFormat="1" ht="19.5" customHeight="1" x14ac:dyDescent="0.25">
      <c r="A115" s="3" t="s">
        <v>232</v>
      </c>
      <c r="B115" s="7" t="s">
        <v>233</v>
      </c>
      <c r="C115" s="3" t="s">
        <v>24</v>
      </c>
      <c r="D115" s="7" t="s">
        <v>25</v>
      </c>
      <c r="E115" s="7" t="s">
        <v>26</v>
      </c>
      <c r="F115" s="3">
        <v>355</v>
      </c>
      <c r="G115" s="3">
        <v>684</v>
      </c>
      <c r="H115" s="3">
        <v>1</v>
      </c>
      <c r="I115" s="3">
        <v>8</v>
      </c>
      <c r="J115" s="3">
        <v>10</v>
      </c>
      <c r="K115" s="3">
        <f t="shared" si="5"/>
        <v>684</v>
      </c>
      <c r="L115" s="3">
        <f t="shared" si="6"/>
        <v>329</v>
      </c>
      <c r="M115" s="7" t="str">
        <f t="shared" si="8"/>
        <v>Ok</v>
      </c>
      <c r="N115" s="7" t="str">
        <f t="shared" si="9"/>
        <v>01/2024</v>
      </c>
      <c r="O115" s="1" t="str">
        <f t="shared" si="7"/>
        <v>Low Profit</v>
      </c>
    </row>
    <row r="116" spans="1:15" s="8" customFormat="1" ht="19.5" customHeight="1" x14ac:dyDescent="0.25">
      <c r="A116" s="3" t="s">
        <v>234</v>
      </c>
      <c r="B116" s="7" t="s">
        <v>235</v>
      </c>
      <c r="C116" s="3" t="s">
        <v>31</v>
      </c>
      <c r="D116" s="7" t="s">
        <v>32</v>
      </c>
      <c r="E116" s="7" t="s">
        <v>14</v>
      </c>
      <c r="F116" s="3">
        <v>1720</v>
      </c>
      <c r="G116" s="3">
        <v>2081</v>
      </c>
      <c r="H116" s="3">
        <v>8</v>
      </c>
      <c r="I116" s="3">
        <v>91</v>
      </c>
      <c r="J116" s="3">
        <v>21</v>
      </c>
      <c r="K116" s="3">
        <f t="shared" si="5"/>
        <v>16648</v>
      </c>
      <c r="L116" s="3">
        <f t="shared" si="6"/>
        <v>2888</v>
      </c>
      <c r="M116" s="7" t="str">
        <f t="shared" si="8"/>
        <v>Reorder</v>
      </c>
      <c r="N116" s="7" t="str">
        <f t="shared" si="9"/>
        <v>05/2024</v>
      </c>
      <c r="O116" s="1" t="str">
        <f t="shared" si="7"/>
        <v xml:space="preserve">High Profit </v>
      </c>
    </row>
    <row r="117" spans="1:15" s="8" customFormat="1" ht="19.5" customHeight="1" x14ac:dyDescent="0.25">
      <c r="A117" s="3" t="s">
        <v>236</v>
      </c>
      <c r="B117" s="7" t="s">
        <v>124</v>
      </c>
      <c r="C117" s="3" t="s">
        <v>74</v>
      </c>
      <c r="D117" s="7" t="s">
        <v>75</v>
      </c>
      <c r="E117" s="7" t="s">
        <v>26</v>
      </c>
      <c r="F117" s="3">
        <v>1103</v>
      </c>
      <c r="G117" s="3">
        <v>1161</v>
      </c>
      <c r="H117" s="3">
        <v>1</v>
      </c>
      <c r="I117" s="3">
        <v>2</v>
      </c>
      <c r="J117" s="3">
        <v>12</v>
      </c>
      <c r="K117" s="3">
        <f t="shared" si="5"/>
        <v>1161</v>
      </c>
      <c r="L117" s="3">
        <f t="shared" si="6"/>
        <v>58</v>
      </c>
      <c r="M117" s="7" t="str">
        <f t="shared" si="8"/>
        <v>Ok</v>
      </c>
      <c r="N117" s="7" t="str">
        <f t="shared" si="9"/>
        <v>04/2024</v>
      </c>
      <c r="O117" s="1" t="str">
        <f t="shared" si="7"/>
        <v>Low Profit</v>
      </c>
    </row>
    <row r="118" spans="1:15" s="8" customFormat="1" ht="19.5" customHeight="1" x14ac:dyDescent="0.25">
      <c r="A118" s="3" t="s">
        <v>237</v>
      </c>
      <c r="B118" s="7" t="s">
        <v>238</v>
      </c>
      <c r="C118" s="3" t="s">
        <v>45</v>
      </c>
      <c r="D118" s="7" t="s">
        <v>46</v>
      </c>
      <c r="E118" s="7" t="s">
        <v>19</v>
      </c>
      <c r="F118" s="3">
        <v>1674</v>
      </c>
      <c r="G118" s="3">
        <v>1987</v>
      </c>
      <c r="H118" s="3">
        <v>10</v>
      </c>
      <c r="I118" s="3">
        <v>62</v>
      </c>
      <c r="J118" s="3">
        <v>21</v>
      </c>
      <c r="K118" s="3">
        <f t="shared" si="5"/>
        <v>19870</v>
      </c>
      <c r="L118" s="3">
        <f t="shared" si="6"/>
        <v>3130</v>
      </c>
      <c r="M118" s="7" t="str">
        <f t="shared" si="8"/>
        <v>Reorder</v>
      </c>
      <c r="N118" s="7" t="str">
        <f t="shared" si="9"/>
        <v>01/2024</v>
      </c>
      <c r="O118" s="1" t="str">
        <f t="shared" si="7"/>
        <v xml:space="preserve">High Profit </v>
      </c>
    </row>
    <row r="119" spans="1:15" s="8" customFormat="1" ht="19.5" customHeight="1" x14ac:dyDescent="0.25">
      <c r="A119" s="3" t="s">
        <v>239</v>
      </c>
      <c r="B119" s="7" t="s">
        <v>96</v>
      </c>
      <c r="C119" s="3" t="s">
        <v>35</v>
      </c>
      <c r="D119" s="7" t="s">
        <v>36</v>
      </c>
      <c r="E119" s="7" t="s">
        <v>26</v>
      </c>
      <c r="F119" s="3">
        <v>802</v>
      </c>
      <c r="G119" s="3">
        <v>966</v>
      </c>
      <c r="H119" s="3">
        <v>4</v>
      </c>
      <c r="I119" s="3">
        <v>94</v>
      </c>
      <c r="J119" s="3">
        <v>16</v>
      </c>
      <c r="K119" s="3">
        <f t="shared" si="5"/>
        <v>3864</v>
      </c>
      <c r="L119" s="3">
        <f t="shared" si="6"/>
        <v>656</v>
      </c>
      <c r="M119" s="7" t="str">
        <f t="shared" si="8"/>
        <v>Reorder</v>
      </c>
      <c r="N119" s="7" t="str">
        <f t="shared" si="9"/>
        <v>01/2024</v>
      </c>
      <c r="O119" s="1" t="str">
        <f t="shared" si="7"/>
        <v>Low Profit</v>
      </c>
    </row>
    <row r="120" spans="1:15" s="8" customFormat="1" ht="19.5" customHeight="1" x14ac:dyDescent="0.25">
      <c r="A120" s="3" t="s">
        <v>240</v>
      </c>
      <c r="B120" s="7" t="s">
        <v>241</v>
      </c>
      <c r="C120" s="3" t="s">
        <v>35</v>
      </c>
      <c r="D120" s="7" t="s">
        <v>36</v>
      </c>
      <c r="E120" s="7" t="s">
        <v>26</v>
      </c>
      <c r="F120" s="3">
        <v>567</v>
      </c>
      <c r="G120" s="3">
        <v>891</v>
      </c>
      <c r="H120" s="3">
        <v>2</v>
      </c>
      <c r="I120" s="3">
        <v>60</v>
      </c>
      <c r="J120" s="3">
        <v>20</v>
      </c>
      <c r="K120" s="3">
        <f t="shared" si="5"/>
        <v>1782</v>
      </c>
      <c r="L120" s="3">
        <f t="shared" si="6"/>
        <v>648</v>
      </c>
      <c r="M120" s="7" t="str">
        <f t="shared" si="8"/>
        <v>Reorder</v>
      </c>
      <c r="N120" s="7" t="str">
        <f t="shared" si="9"/>
        <v>02/2024</v>
      </c>
      <c r="O120" s="1" t="str">
        <f t="shared" si="7"/>
        <v>Low Profit</v>
      </c>
    </row>
    <row r="121" spans="1:15" s="8" customFormat="1" ht="19.5" customHeight="1" x14ac:dyDescent="0.25">
      <c r="A121" s="3" t="s">
        <v>242</v>
      </c>
      <c r="B121" s="7" t="s">
        <v>183</v>
      </c>
      <c r="C121" s="3" t="s">
        <v>41</v>
      </c>
      <c r="D121" s="7" t="s">
        <v>42</v>
      </c>
      <c r="E121" s="7" t="s">
        <v>14</v>
      </c>
      <c r="F121" s="3">
        <v>1982</v>
      </c>
      <c r="G121" s="3">
        <v>2194</v>
      </c>
      <c r="H121" s="3">
        <v>10</v>
      </c>
      <c r="I121" s="3">
        <v>37</v>
      </c>
      <c r="J121" s="3">
        <v>22</v>
      </c>
      <c r="K121" s="3">
        <f t="shared" si="5"/>
        <v>21940</v>
      </c>
      <c r="L121" s="3">
        <f t="shared" si="6"/>
        <v>2120</v>
      </c>
      <c r="M121" s="7" t="str">
        <f t="shared" si="8"/>
        <v>Reorder</v>
      </c>
      <c r="N121" s="7" t="str">
        <f t="shared" si="9"/>
        <v>03/2024</v>
      </c>
      <c r="O121" s="1" t="str">
        <f t="shared" si="7"/>
        <v xml:space="preserve">High Profit </v>
      </c>
    </row>
  </sheetData>
  <conditionalFormatting sqref="O2:O121">
    <cfRule type="containsText" dxfId="1" priority="1" operator="containsText" text="High Profit">
      <formula>NOT(ISERROR(SEARCH("High Profit",O2)))</formula>
    </cfRule>
    <cfRule type="cellIs" dxfId="0" priority="2" operator="equal">
      <formula>"High Profit"</formula>
    </cfRule>
  </conditionalFormatting>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5"/>
  <sheetViews>
    <sheetView tabSelected="1" topLeftCell="A31" workbookViewId="0">
      <selection activeCell="E51" sqref="E51"/>
    </sheetView>
  </sheetViews>
  <sheetFormatPr defaultRowHeight="15" x14ac:dyDescent="0.25"/>
  <cols>
    <col min="1" max="1" width="13.140625" customWidth="1"/>
    <col min="2" max="2" width="12.5703125" customWidth="1"/>
    <col min="4" max="4" width="13.140625" bestFit="1" customWidth="1"/>
    <col min="5" max="5" width="12.5703125" bestFit="1" customWidth="1"/>
    <col min="7" max="7" width="13.140625" bestFit="1" customWidth="1"/>
    <col min="8" max="8" width="12.5703125" bestFit="1" customWidth="1"/>
    <col min="10" max="10" width="13.140625" bestFit="1" customWidth="1"/>
    <col min="11" max="11" width="22.85546875" customWidth="1"/>
    <col min="12" max="12" width="8.140625" customWidth="1"/>
    <col min="13" max="13" width="13.140625" customWidth="1"/>
    <col min="14" max="14" width="19" bestFit="1" customWidth="1"/>
  </cols>
  <sheetData>
    <row r="1" spans="1:14" x14ac:dyDescent="0.25">
      <c r="A1" s="11" t="s">
        <v>261</v>
      </c>
      <c r="B1" t="s">
        <v>255</v>
      </c>
      <c r="D1" s="11" t="s">
        <v>4</v>
      </c>
      <c r="E1" t="s">
        <v>256</v>
      </c>
      <c r="G1" s="11" t="s">
        <v>3</v>
      </c>
      <c r="H1" t="s">
        <v>256</v>
      </c>
      <c r="J1" s="11" t="s">
        <v>3</v>
      </c>
      <c r="K1" t="s">
        <v>259</v>
      </c>
      <c r="M1" s="11" t="s">
        <v>245</v>
      </c>
      <c r="N1" t="s">
        <v>260</v>
      </c>
    </row>
    <row r="2" spans="1:14" x14ac:dyDescent="0.25">
      <c r="A2" s="12" t="s">
        <v>248</v>
      </c>
      <c r="B2" s="13">
        <v>174431</v>
      </c>
      <c r="D2" s="12" t="s">
        <v>26</v>
      </c>
      <c r="E2" s="13">
        <v>57467</v>
      </c>
      <c r="G2" s="12" t="s">
        <v>36</v>
      </c>
      <c r="H2" s="13">
        <v>32991</v>
      </c>
      <c r="J2" s="12" t="s">
        <v>18</v>
      </c>
      <c r="K2" s="13">
        <v>14</v>
      </c>
      <c r="M2" s="12" t="s">
        <v>257</v>
      </c>
      <c r="N2" s="13">
        <v>27</v>
      </c>
    </row>
    <row r="3" spans="1:14" x14ac:dyDescent="0.25">
      <c r="A3" s="12" t="s">
        <v>249</v>
      </c>
      <c r="B3" s="13">
        <v>182594</v>
      </c>
      <c r="D3" s="12" t="s">
        <v>19</v>
      </c>
      <c r="E3" s="13">
        <v>78699</v>
      </c>
      <c r="G3" s="12" t="s">
        <v>52</v>
      </c>
      <c r="H3" s="13">
        <v>28804</v>
      </c>
      <c r="J3" s="12" t="s">
        <v>75</v>
      </c>
      <c r="K3" s="13">
        <v>9</v>
      </c>
      <c r="M3" s="12" t="s">
        <v>258</v>
      </c>
      <c r="N3" s="13">
        <v>93</v>
      </c>
    </row>
    <row r="4" spans="1:14" x14ac:dyDescent="0.25">
      <c r="A4" s="12" t="s">
        <v>250</v>
      </c>
      <c r="B4" s="13">
        <v>226111</v>
      </c>
      <c r="D4" s="12" t="s">
        <v>14</v>
      </c>
      <c r="E4" s="13">
        <v>52229</v>
      </c>
      <c r="G4" s="12" t="s">
        <v>46</v>
      </c>
      <c r="H4" s="13">
        <v>27875</v>
      </c>
      <c r="J4" s="12" t="s">
        <v>36</v>
      </c>
      <c r="K4" s="13">
        <v>16</v>
      </c>
      <c r="M4" s="12" t="s">
        <v>254</v>
      </c>
      <c r="N4" s="13">
        <v>120</v>
      </c>
    </row>
    <row r="5" spans="1:14" x14ac:dyDescent="0.25">
      <c r="A5" s="12" t="s">
        <v>251</v>
      </c>
      <c r="B5" s="13">
        <v>70275</v>
      </c>
      <c r="D5" s="12" t="s">
        <v>254</v>
      </c>
      <c r="E5" s="13">
        <v>188395</v>
      </c>
      <c r="G5" s="12" t="s">
        <v>18</v>
      </c>
      <c r="H5" s="13">
        <v>22020</v>
      </c>
      <c r="J5" s="12" t="s">
        <v>52</v>
      </c>
      <c r="K5" s="13">
        <v>15</v>
      </c>
    </row>
    <row r="6" spans="1:14" x14ac:dyDescent="0.25">
      <c r="A6" s="12" t="s">
        <v>252</v>
      </c>
      <c r="B6" s="13">
        <v>146964</v>
      </c>
      <c r="G6" s="12" t="s">
        <v>32</v>
      </c>
      <c r="H6" s="13">
        <v>20356</v>
      </c>
      <c r="J6" s="12" t="s">
        <v>46</v>
      </c>
      <c r="K6" s="13">
        <v>19</v>
      </c>
    </row>
    <row r="7" spans="1:14" x14ac:dyDescent="0.25">
      <c r="A7" s="12" t="s">
        <v>253</v>
      </c>
      <c r="B7" s="13">
        <v>132441</v>
      </c>
      <c r="G7" s="12" t="s">
        <v>254</v>
      </c>
      <c r="H7" s="13">
        <v>132046</v>
      </c>
      <c r="J7" s="12" t="s">
        <v>42</v>
      </c>
      <c r="K7" s="13">
        <v>14</v>
      </c>
    </row>
    <row r="8" spans="1:14" x14ac:dyDescent="0.25">
      <c r="A8" s="12" t="s">
        <v>254</v>
      </c>
      <c r="B8" s="13">
        <v>932816</v>
      </c>
      <c r="J8" s="12" t="s">
        <v>13</v>
      </c>
      <c r="K8" s="13">
        <v>10</v>
      </c>
    </row>
    <row r="9" spans="1:14" x14ac:dyDescent="0.25">
      <c r="J9" s="12" t="s">
        <v>32</v>
      </c>
      <c r="K9" s="13">
        <v>12</v>
      </c>
    </row>
    <row r="10" spans="1:14" x14ac:dyDescent="0.25">
      <c r="J10" s="12" t="s">
        <v>25</v>
      </c>
      <c r="K10" s="13">
        <v>11</v>
      </c>
    </row>
    <row r="11" spans="1:14" x14ac:dyDescent="0.25">
      <c r="J11" s="12" t="s">
        <v>254</v>
      </c>
      <c r="K11" s="13">
        <v>120</v>
      </c>
    </row>
    <row r="46" spans="1:2" x14ac:dyDescent="0.25">
      <c r="A46" s="12"/>
      <c r="B46" s="13"/>
    </row>
    <row r="47" spans="1:2" x14ac:dyDescent="0.25">
      <c r="A47" s="12"/>
      <c r="B47" s="13"/>
    </row>
    <row r="48" spans="1:2" x14ac:dyDescent="0.25">
      <c r="A48" s="12"/>
      <c r="B48" s="13"/>
    </row>
    <row r="49" spans="1:2" x14ac:dyDescent="0.25">
      <c r="A49" s="12"/>
      <c r="B49" s="13"/>
    </row>
    <row r="50" spans="1:2" x14ac:dyDescent="0.25">
      <c r="A50" s="12"/>
      <c r="B50" s="13"/>
    </row>
    <row r="51" spans="1:2" x14ac:dyDescent="0.25">
      <c r="A51" s="12"/>
      <c r="B51" s="13"/>
    </row>
    <row r="52" spans="1:2" x14ac:dyDescent="0.25">
      <c r="A52" s="12"/>
      <c r="B52" s="13"/>
    </row>
    <row r="53" spans="1:2" x14ac:dyDescent="0.25">
      <c r="A53" s="12"/>
      <c r="B53" s="13"/>
    </row>
    <row r="54" spans="1:2" x14ac:dyDescent="0.25">
      <c r="A54" s="12"/>
      <c r="B54" s="13"/>
    </row>
    <row r="55" spans="1:2" x14ac:dyDescent="0.25">
      <c r="A55" s="12"/>
      <c r="B55" s="13"/>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Retail_Sales_Data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2026-01-14T04:31:00Z</dcterms:created>
  <dcterms:modified xsi:type="dcterms:W3CDTF">2026-01-14T05:41:26Z</dcterms:modified>
</cp:coreProperties>
</file>